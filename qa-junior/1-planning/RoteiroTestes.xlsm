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eandro\Desktop\template-README\"/>
    </mc:Choice>
  </mc:AlternateContent>
  <bookViews>
    <workbookView xWindow="0" yWindow="0" windowWidth="20400" windowHeight="7770" tabRatio="684"/>
  </bookViews>
  <sheets>
    <sheet name="Instruções" sheetId="2" r:id="rId1"/>
    <sheet name="Roteiro de Teste" sheetId="7" r:id="rId2"/>
    <sheet name="D1" sheetId="8" state="hidden" r:id="rId3"/>
    <sheet name="D2" sheetId="9" state="hidden" r:id="rId4"/>
    <sheet name="D3" sheetId="10" state="hidden" r:id="rId5"/>
    <sheet name="D4" sheetId="11" state="hidden" r:id="rId6"/>
    <sheet name="D5" sheetId="12" state="hidden" r:id="rId7"/>
    <sheet name="D6" sheetId="13" state="hidden" r:id="rId8"/>
  </sheets>
  <definedNames>
    <definedName name="_xlnm._FilterDatabase" localSheetId="1" hidden="1">'Roteiro de Teste'!$B$6:$G$87</definedName>
    <definedName name="_xlnm.Print_Area" localSheetId="1">'Roteiro de Teste'!$A$5:$F$44</definedName>
  </definedNames>
  <calcPr calcId="152511"/>
  <pivotCaches>
    <pivotCache cacheId="9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3" l="1"/>
  <c r="A28" i="13"/>
  <c r="A27" i="13"/>
  <c r="A26" i="13"/>
  <c r="A25" i="13"/>
  <c r="A23" i="13"/>
  <c r="A22" i="13"/>
  <c r="A21" i="13"/>
  <c r="A20" i="13"/>
  <c r="A24" i="13"/>
  <c r="A21" i="11"/>
  <c r="A22" i="11"/>
  <c r="A23" i="11"/>
  <c r="A24" i="11"/>
  <c r="A20" i="11"/>
  <c r="A21" i="12"/>
  <c r="A22" i="12"/>
  <c r="A23" i="12"/>
  <c r="A24" i="12"/>
  <c r="A25" i="12"/>
  <c r="A26" i="12"/>
  <c r="A27" i="12"/>
  <c r="A28" i="12"/>
  <c r="A29" i="12"/>
  <c r="A30" i="12"/>
  <c r="C26" i="13"/>
  <c r="C23" i="11"/>
  <c r="C28" i="12"/>
  <c r="C21" i="11"/>
  <c r="C29" i="13"/>
  <c r="C27" i="13"/>
  <c r="C28" i="13"/>
  <c r="C24" i="13"/>
  <c r="B27" i="13"/>
  <c r="C24" i="11"/>
  <c r="B22" i="11"/>
  <c r="C29" i="12"/>
  <c r="B29" i="13"/>
  <c r="C20" i="11"/>
  <c r="C24" i="12"/>
  <c r="C21" i="12"/>
  <c r="B20" i="11"/>
  <c r="B25" i="13"/>
  <c r="B21" i="11"/>
  <c r="C26" i="12"/>
  <c r="B26" i="13"/>
  <c r="B28" i="13"/>
  <c r="B24" i="13"/>
  <c r="C25" i="12"/>
  <c r="C23" i="12"/>
  <c r="B24" i="11"/>
  <c r="C27" i="12"/>
  <c r="B23" i="11"/>
  <c r="C25" i="13"/>
  <c r="C22" i="12"/>
  <c r="C22" i="11"/>
  <c r="C30" i="12"/>
  <c r="C23" i="13"/>
  <c r="C21" i="13"/>
  <c r="C20" i="13"/>
  <c r="C22" i="13"/>
  <c r="D24" i="13" l="1"/>
  <c r="D26" i="13"/>
  <c r="D28" i="13"/>
  <c r="D25" i="13"/>
  <c r="D27" i="13"/>
  <c r="D29" i="13"/>
  <c r="A20" i="12"/>
  <c r="A22" i="10"/>
  <c r="A21" i="10"/>
  <c r="A20" i="10"/>
  <c r="A25" i="9"/>
  <c r="A24" i="9"/>
  <c r="A23" i="9"/>
  <c r="A22" i="9"/>
  <c r="A21" i="9"/>
  <c r="A20" i="9"/>
  <c r="C20" i="12"/>
  <c r="B20" i="13"/>
  <c r="B27" i="12"/>
  <c r="B22" i="13"/>
  <c r="B23" i="13"/>
  <c r="B25" i="12"/>
  <c r="B23" i="12"/>
  <c r="B21" i="12"/>
  <c r="B25" i="9"/>
  <c r="B21" i="9"/>
  <c r="B20" i="12"/>
  <c r="B22" i="9"/>
  <c r="B21" i="10"/>
  <c r="B20" i="10"/>
  <c r="B30" i="12"/>
  <c r="B28" i="12"/>
  <c r="B24" i="9"/>
  <c r="B21" i="13"/>
  <c r="B23" i="9"/>
  <c r="B20" i="8"/>
  <c r="B26" i="12"/>
  <c r="B22" i="12"/>
  <c r="B29" i="12"/>
  <c r="B24" i="12"/>
  <c r="B20" i="9"/>
  <c r="B22" i="10"/>
  <c r="D23" i="13" l="1"/>
  <c r="D22" i="13"/>
  <c r="D20" i="13"/>
  <c r="D21" i="13"/>
  <c r="C20" i="9"/>
  <c r="C23" i="9"/>
  <c r="C25" i="9"/>
  <c r="B21" i="8"/>
  <c r="C22" i="9"/>
  <c r="C22" i="10"/>
  <c r="C24" i="9"/>
  <c r="C21" i="9"/>
  <c r="C20" i="10"/>
  <c r="C21" i="10"/>
</calcChain>
</file>

<file path=xl/sharedStrings.xml><?xml version="1.0" encoding="utf-8"?>
<sst xmlns="http://schemas.openxmlformats.org/spreadsheetml/2006/main" count="567" uniqueCount="314">
  <si>
    <t>POSITIVO</t>
  </si>
  <si>
    <t>NEGATIVO</t>
  </si>
  <si>
    <t>STRESS</t>
  </si>
  <si>
    <t>INCLUSÃO DE PRODUTO</t>
  </si>
  <si>
    <t>ALTERAÇÃO DE PRODUTO</t>
  </si>
  <si>
    <t>EXCLUSÃO DE PRODUTO</t>
  </si>
  <si>
    <t>CRITICIDADE</t>
  </si>
  <si>
    <t>STATUS DOS TESTES</t>
  </si>
  <si>
    <t>STATUS</t>
  </si>
  <si>
    <t>APROVADO</t>
  </si>
  <si>
    <t>Rótulos de Linha</t>
  </si>
  <si>
    <t>Rótulos de Coluna</t>
  </si>
  <si>
    <t>Total Geral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</si>
  <si>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</si>
  <si>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</si>
  <si>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</si>
  <si>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</si>
  <si>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</si>
  <si>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</si>
  <si>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</si>
  <si>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ETAPA DO TESTE</t>
  </si>
  <si>
    <t>Contagem de CRITICIDADE</t>
  </si>
  <si>
    <t>DEMAIS</t>
  </si>
  <si>
    <t>TESTES</t>
  </si>
  <si>
    <t>TOTAL</t>
  </si>
  <si>
    <t>1. UNIDADE</t>
  </si>
  <si>
    <t>2. INTEGRAÇÃO</t>
  </si>
  <si>
    <t>3. SISTEMA</t>
  </si>
  <si>
    <t>4. ACEITAÇÃO</t>
  </si>
  <si>
    <t>5. OPERAÇÃO</t>
  </si>
  <si>
    <t>% CONCLUSÃO</t>
  </si>
  <si>
    <t>ROTEIRO DE TESTES</t>
  </si>
  <si>
    <t>1.1</t>
  </si>
  <si>
    <t>direcionado corretamente</t>
  </si>
  <si>
    <t>1.2</t>
  </si>
  <si>
    <t>Acessar o menu PODCAST</t>
  </si>
  <si>
    <t>1.3</t>
  </si>
  <si>
    <t>Acessar o menu IDWALL NEWS</t>
  </si>
  <si>
    <t>ser direcionado para a url https://blog.idwall.co/category/idwall-news/</t>
  </si>
  <si>
    <t>1.4</t>
  </si>
  <si>
    <t>Acessar o menu ANTI-FRAUDE</t>
  </si>
  <si>
    <t>ser direcionado para a url https://blog.idwall.co/idtalks/</t>
  </si>
  <si>
    <t>ser direcionado para a url https://blog.idwall.co/category/anti-fraude/</t>
  </si>
  <si>
    <t>1.5</t>
  </si>
  <si>
    <t>Acessar o menu FINTECH</t>
  </si>
  <si>
    <t>ser direcionado para a url https://blog.idwall.co/category/fintech/</t>
  </si>
  <si>
    <t>1.6</t>
  </si>
  <si>
    <t>Acessar o menu BACKGROUND CHECKING</t>
  </si>
  <si>
    <t>ser direcionado para a url https://blog.idwall.co/category/background-checking/</t>
  </si>
  <si>
    <t>1.7</t>
  </si>
  <si>
    <t>Acessar o menu DUE DILIGENCE</t>
  </si>
  <si>
    <t>ser direcionado para a url https://blog.idwall.co/category/due-diligence/</t>
  </si>
  <si>
    <t>1.8</t>
  </si>
  <si>
    <t>Acessar o menu STARTUP</t>
  </si>
  <si>
    <t>ser direcionado para a url https://blog.idwall.co/category/startup/</t>
  </si>
  <si>
    <t>1.9</t>
  </si>
  <si>
    <t>Acessar o menu OUTROS</t>
  </si>
  <si>
    <t>ser direcionado para a url https://blog.idwall.co/category/outros/</t>
  </si>
  <si>
    <t>2.0</t>
  </si>
  <si>
    <t>Acessar o menu PODCAST via toggle menu lateral</t>
  </si>
  <si>
    <t>Clicar no icone do toggle menu, e em seguida no menu lateral direito clicar no hyperlink PODCAST</t>
  </si>
  <si>
    <t>2.1</t>
  </si>
  <si>
    <t>Acessar o menu IDWALL NEWS via toggle menu lateral</t>
  </si>
  <si>
    <t>Clicar no icone do toggle menu, e em seguida no menu lateral direito clicar no hyperlink IDWALL NEWS</t>
  </si>
  <si>
    <t>2.2</t>
  </si>
  <si>
    <t>Acessar o menu ANTI-FRAUDE via toggle menu lateral</t>
  </si>
  <si>
    <t>Clicar no icone do toggle menu, e em seguida no menu lateral direito clicar no hyperlink ANTI-FRAUDE</t>
  </si>
  <si>
    <t>2.3</t>
  </si>
  <si>
    <t>Acessar o menu FINTECH via toggle menu lateral</t>
  </si>
  <si>
    <t>Clicar no icone do toggle menu, e em seguida no menu lateral direito clicar no hyperlink FINTECH</t>
  </si>
  <si>
    <t>2.4</t>
  </si>
  <si>
    <t>Acessar o menu BACKGROUND CHECKING via toggle menu lateral</t>
  </si>
  <si>
    <t>Clicar no icone do toggle menu, e em seguida no menu lateral direito clicar no hyperlink BACKGROUND CHECKING</t>
  </si>
  <si>
    <t>2.5</t>
  </si>
  <si>
    <t>Acessar o menu DUE DILIGENCE via toggle menu lateral</t>
  </si>
  <si>
    <t>Clicar no icone do toggle menu, e em seguida no menu lateral direito clicar no hyperlink DUE DILIGENCE</t>
  </si>
  <si>
    <t>2.6</t>
  </si>
  <si>
    <t>Acessar o menu STARTUP via toggle menu lateral</t>
  </si>
  <si>
    <t>Clicar no icone do toggle menu, e em seguida no menu lateral direito clicar no hyperlink STARTUP</t>
  </si>
  <si>
    <t>2.7</t>
  </si>
  <si>
    <t>Acessar o menu OUTROS via toggle menu lateral</t>
  </si>
  <si>
    <t>Clicar no icone do toggle menu, e em seguida no menu lateral direito clicar no hyperlink OUTROS</t>
  </si>
  <si>
    <t>2.8</t>
  </si>
  <si>
    <t>Acessar a barra de pesquisa e buscar por um resultado válido</t>
  </si>
  <si>
    <t>Clicar no icone da lupa, inserir valores válidos e apertar a tecla ENTER</t>
  </si>
  <si>
    <t>exibir na página de resultados as postagens contendo os valores pesquisados</t>
  </si>
  <si>
    <t>2.9</t>
  </si>
  <si>
    <t>ser direcionado para o post com a url https://blog.idwall.co/bacen-quer-implementar-sistema-instantaneo-de-pagamentos/</t>
  </si>
  <si>
    <t>3.0</t>
  </si>
  <si>
    <t>3.1</t>
  </si>
  <si>
    <t>Acessar o primeiro post da area de banners/carrosel de imagens</t>
  </si>
  <si>
    <t>3.9</t>
  </si>
  <si>
    <t>3.2</t>
  </si>
  <si>
    <t>Verificar o carrosel de imagens da área de banners</t>
  </si>
  <si>
    <t>Clicar nos seis checkbox referente a cada imagem dos banner</t>
  </si>
  <si>
    <t>ser exibido a imagem dos seis banner referente a cada um dos posts</t>
  </si>
  <si>
    <t>Acessar o menu IDWALL - NEWS via primeiro banner</t>
  </si>
  <si>
    <t>Acessar o menu MERCADO via primeiro banner</t>
  </si>
  <si>
    <r>
      <t xml:space="preserve">Selecionar o primeiro checkbox referente ao primeiro banner, e acima do titulo do post clicar no hyperlink </t>
    </r>
    <r>
      <rPr>
        <b/>
        <sz val="11"/>
        <color theme="1"/>
        <rFont val="Calibri"/>
        <family val="2"/>
        <scheme val="minor"/>
      </rPr>
      <t>mercado</t>
    </r>
  </si>
  <si>
    <r>
      <t xml:space="preserve">Selecionar o primeiro checkbox referente ao primeiro banner, e acima do titulo do post clicar no hyperlink </t>
    </r>
    <r>
      <rPr>
        <b/>
        <sz val="11"/>
        <color theme="1"/>
        <rFont val="Calibri"/>
        <family val="2"/>
        <scheme val="minor"/>
      </rPr>
      <t>IDwall - News</t>
    </r>
  </si>
  <si>
    <t>ser direcionado para a url https://blog.idwall.co/category/mercado/</t>
  </si>
  <si>
    <t>3.3</t>
  </si>
  <si>
    <t>Acessar o segundo post da area de banners/carrosel de imagens</t>
  </si>
  <si>
    <t>ser direcionado para o post com a url https://blog.idwall.co/o-que-e-acuracia/</t>
  </si>
  <si>
    <t>3.4</t>
  </si>
  <si>
    <t>Acessar o menu OUTROS via segundo banner</t>
  </si>
  <si>
    <r>
      <t xml:space="preserve">Selecionar o segundo checkbox referente ao segundo banner, e acima do titulo do post clicar no hyperlink </t>
    </r>
    <r>
      <rPr>
        <b/>
        <sz val="11"/>
        <color theme="1"/>
        <rFont val="Calibri"/>
        <family val="2"/>
        <scheme val="minor"/>
      </rPr>
      <t>Outros</t>
    </r>
  </si>
  <si>
    <t>Selecionar o primeiro checkbox referente ao primeiro banner, e clicar na imagem, no titulo do post OU no botão READ MORE</t>
  </si>
  <si>
    <t>Selecionar o segundo checkbox referente ao segundo banner, e clicar na imagem, no titulo do post OU no botão READ MORE</t>
  </si>
  <si>
    <t>3.5</t>
  </si>
  <si>
    <t>Acessar o terceiro post da area de banners/carrosel de imagens</t>
  </si>
  <si>
    <t>Selecionar o terceiro checkbox referente ao terceiro banner, e clicar na imagem, no titulo do post OU no botão READ MORE</t>
  </si>
  <si>
    <t>ser direcionado para o post com a url https://blog.idwall.co/kyc-tudo-sobre-know-your-customer/</t>
  </si>
  <si>
    <t>3.6</t>
  </si>
  <si>
    <t>Acessar o menu IDWALL - NEWS via terceiro banner</t>
  </si>
  <si>
    <r>
      <t xml:space="preserve">Selecionar o terceiro checkbox referente ao terceiro banner, e acima do titulo do post clicar no hyperlink </t>
    </r>
    <r>
      <rPr>
        <b/>
        <sz val="11"/>
        <color theme="1"/>
        <rFont val="Calibri"/>
        <family val="2"/>
        <scheme val="minor"/>
      </rPr>
      <t>IDwall - News</t>
    </r>
  </si>
  <si>
    <t>3.7</t>
  </si>
  <si>
    <t>Acessar o quarto post da area de banners/carrosel de imagens</t>
  </si>
  <si>
    <t>Selecionar o quarto checkbox referente ao quarto banner, e clicar na imagem, no titulo do post OU no botão READ MORE</t>
  </si>
  <si>
    <t>ser direcionado para o post com a url https://blog.idwall.co/throughput-de-clientes-como-aumentar/</t>
  </si>
  <si>
    <t>3.8</t>
  </si>
  <si>
    <r>
      <t xml:space="preserve">Selecionar o quarto checkbox referente ao quarto banner, e acima do titulo do post clicar no hyperlink </t>
    </r>
    <r>
      <rPr>
        <b/>
        <sz val="11"/>
        <color theme="1"/>
        <rFont val="Calibri"/>
        <family val="2"/>
        <scheme val="minor"/>
      </rPr>
      <t>mercado</t>
    </r>
  </si>
  <si>
    <t>Acessar o quinto post da area de banners/carrosel de imagens</t>
  </si>
  <si>
    <t>Selecionar o quinto checkbox referente ao quinto banner, e clicar na imagem, no titulo do post OU no botão READ MORE</t>
  </si>
  <si>
    <t>ser direcionado para o post com a url https://blog.idwall.co/politica-de-seguranca-da-informacao-como-criar/</t>
  </si>
  <si>
    <t>4.0</t>
  </si>
  <si>
    <t>Acessar o menu MERCADO via quarto banner</t>
  </si>
  <si>
    <t>Acessar o menu OUTROS via quinto banner</t>
  </si>
  <si>
    <r>
      <t xml:space="preserve">Selecionar o quinto checkbox referente ao quinto banner, e acima do titulo do post clicar no hyperlink </t>
    </r>
    <r>
      <rPr>
        <b/>
        <sz val="11"/>
        <color theme="1"/>
        <rFont val="Calibri"/>
        <family val="2"/>
        <scheme val="minor"/>
      </rPr>
      <t>outros</t>
    </r>
  </si>
  <si>
    <t>4.1</t>
  </si>
  <si>
    <t>Acessar o sexto post da area de banners/carrosel de imagens</t>
  </si>
  <si>
    <t>Selecionar o sexto checkbox referente ao sextobanner, e clicar na imagem, no titulo do post OU no botão READ MORE</t>
  </si>
  <si>
    <t>ser direcionado para o post com a url https://blog.idwall.co/como-automatizar-a-consulta-de-antecedentes-criminais/</t>
  </si>
  <si>
    <t>4.2</t>
  </si>
  <si>
    <t>Acessar o menu OUTROS via sexto banner</t>
  </si>
  <si>
    <r>
      <t xml:space="preserve">Selecionar o sexto checkbox referente ao sexto banner, e acima do titulo do post clicar no hyperlink </t>
    </r>
    <r>
      <rPr>
        <b/>
        <sz val="11"/>
        <color theme="1"/>
        <rFont val="Calibri"/>
        <family val="2"/>
        <scheme val="minor"/>
      </rPr>
      <t>outros</t>
    </r>
  </si>
  <si>
    <t>4.3</t>
  </si>
  <si>
    <t>Acessar o menu ANTI-FRAUDE via submenu CATEGORIAS</t>
  </si>
  <si>
    <t>clicar na combobox 'selecionar categoria' e em seguida clicar na opção Anti-fraude</t>
  </si>
  <si>
    <t>4.4</t>
  </si>
  <si>
    <t>Acessar o menu BACKGROUND CHECK via submenu CATEGORIAS</t>
  </si>
  <si>
    <t>clicar na combobox 'selecionar categoria' e em seguida clicar na opção Background Check</t>
  </si>
  <si>
    <t>ser direcionado para a url https://blog.idwall.co/category/background-check/</t>
  </si>
  <si>
    <t>4.5</t>
  </si>
  <si>
    <t>Acessar o menu BACKGROUND CHECKING via submenu CATEGORIAS</t>
  </si>
  <si>
    <t>clicar na combobox 'selecionar categoria' e em seguida clicar na opção Background Checking</t>
  </si>
  <si>
    <t>4.6</t>
  </si>
  <si>
    <t>Acessar o menu DUE DILIGENCE via submenu CATEGORIAS</t>
  </si>
  <si>
    <t>clicar na combobox 'selecionar categoria' e em seguida clicar na opção Due Diligence</t>
  </si>
  <si>
    <t>4.7</t>
  </si>
  <si>
    <t>Acessar o menu ECONOMY via submenu CATEGORIAS</t>
  </si>
  <si>
    <t>clicar na combobox 'selecionar categoria' e em seguida clicar na opção Economy</t>
  </si>
  <si>
    <t>ser direcionado para a url https://blog.idwall.co/category/outros/economy/</t>
  </si>
  <si>
    <t>4.8</t>
  </si>
  <si>
    <t>Acessar o menu FINTECH via submenu CATEGORIAS</t>
  </si>
  <si>
    <t>clicar na combobox 'selecionar categoria' e em seguida clicar na opção Fintech</t>
  </si>
  <si>
    <t>4.9</t>
  </si>
  <si>
    <t>Acessar o menu idcast via submenu CATEGORIAS</t>
  </si>
  <si>
    <t>ser direcionado para a url https://blog.idwall.co/category/idcast/</t>
  </si>
  <si>
    <t>clicar na combobox 'selecionar categoria' e em seguida clicar na opção idcast</t>
  </si>
  <si>
    <t>5.0</t>
  </si>
  <si>
    <t>Acessar o menu idtalks via submenu CATEGORIAS</t>
  </si>
  <si>
    <t>clicar na combobox 'selecionar categoria' e em seguida clicar na opção idtalks</t>
  </si>
  <si>
    <t>ser direcionado para a url https://blog.idwall.co/category/idtalks/</t>
  </si>
  <si>
    <t>5.1</t>
  </si>
  <si>
    <t>Acessar o menu Idwall - News via submenu CATEGORIAS</t>
  </si>
  <si>
    <t>clicar na combobox 'selecionar categoria' e em seguida clicar na opção Idwall - News</t>
  </si>
  <si>
    <t>5.2</t>
  </si>
  <si>
    <t>Acessar o menu MERCADO via submenu CATEGORIAS</t>
  </si>
  <si>
    <t>5.3</t>
  </si>
  <si>
    <t>Acessar o menu OUTROS via submenu CATEGORIAS</t>
  </si>
  <si>
    <t>clicar na combobox 'selecionar categoria' e em seguida clicar na opção Outros</t>
  </si>
  <si>
    <t>clicar na combobox 'selecionar categoria' e em seguida clicar na opção Mercado</t>
  </si>
  <si>
    <t>5.4</t>
  </si>
  <si>
    <t>Acessar o menu SEGURANÇA via submenu CATEGORIAS</t>
  </si>
  <si>
    <t>clicar na combobox 'selecionar categoria' e em seguida clicar na opção Segurança</t>
  </si>
  <si>
    <t>ser direcionado para a url https://blog.idwall.co/category/seguranca/</t>
  </si>
  <si>
    <t>5.5</t>
  </si>
  <si>
    <t>Acessar o menu STARTUP via submenu CATEGORIAS</t>
  </si>
  <si>
    <t>clicar na combobox 'selecionar categoria' e em seguida clicar na opção Startup</t>
  </si>
  <si>
    <t>5.6</t>
  </si>
  <si>
    <t>Acessar os links das redes sociais no submenu SIGA-NOS NAS NOSSAS REDES</t>
  </si>
  <si>
    <t>clicar no icone OU link correspondente a cada rede social exibida</t>
  </si>
  <si>
    <t>ser direcionado para a página da Idwall em cada uma das redes sociais informadas no blog</t>
  </si>
  <si>
    <t>5.7</t>
  </si>
  <si>
    <t>Acessar os posts do submenu LATEST TECH UPDATE</t>
  </si>
  <si>
    <t>clicar na imagem OU no titulo do post 'idwall lança site exclusivo sobre background check'</t>
  </si>
  <si>
    <t>ser direcionado para o post com a url https://blog.idwall.co/site-exclusivo-sobre-background-check/</t>
  </si>
  <si>
    <t>5.8</t>
  </si>
  <si>
    <t>Acessar a sessão de posts da autora Karina Menezes</t>
  </si>
  <si>
    <r>
      <t xml:space="preserve">no submenu LATEST TECH UPDATE, abaixo do titulo do post, clicar no hyperlink </t>
    </r>
    <r>
      <rPr>
        <b/>
        <sz val="11"/>
        <color theme="1"/>
        <rFont val="Calibri"/>
        <family val="2"/>
        <scheme val="minor"/>
      </rPr>
      <t>Karina Menezes</t>
    </r>
  </si>
  <si>
    <t>ser direcionado para uma página contendo todas as postagens realizadas pela Karina Menezes.</t>
  </si>
  <si>
    <t>5.9</t>
  </si>
  <si>
    <t>clicar na imagem OU no titulo do post 'Os melhores prêmios de inovação para inscrever sua empresa em 2020'</t>
  </si>
  <si>
    <t>ser direcionado para o post com a url https://blog.idwall.co/premios-de-inovacao-2020/</t>
  </si>
  <si>
    <t>6.0</t>
  </si>
  <si>
    <t>Acessar a sessão de posts da autora Nathalia Paz</t>
  </si>
  <si>
    <r>
      <t xml:space="preserve">no submenu LATEST TECH UPDATE, abaixo do titulo do post, clicar no hyperlink </t>
    </r>
    <r>
      <rPr>
        <b/>
        <sz val="11"/>
        <color theme="1"/>
        <rFont val="Calibri"/>
        <family val="2"/>
        <scheme val="minor"/>
      </rPr>
      <t>Nathalia Paz</t>
    </r>
  </si>
  <si>
    <t>ser direcionado para uma página contendo todas as postagens realizadas pela Nathalia Paz.</t>
  </si>
  <si>
    <t>6.1</t>
  </si>
  <si>
    <t>clicar na imagem OU no titulo do post 'KYC: tudo sobre Know Your Customer para sua instituição financeira'</t>
  </si>
  <si>
    <t>6.2</t>
  </si>
  <si>
    <t>clicar na imagem OU no titulo do post 'BACEN quer implementar sistema instantâneo de pagamentos até 2020'</t>
  </si>
  <si>
    <t>clicar na imagem OU no titulo do post 'O que é acurácia? Entenda o conceito e sua importância'</t>
  </si>
  <si>
    <t>6.3</t>
  </si>
  <si>
    <t>6.4</t>
  </si>
  <si>
    <t>clicar na imagem OU no titulo do post 'Como aumentar o throughput de clientes com validação de identidade automática'</t>
  </si>
  <si>
    <t>Acessar a sessão de posts da autora Mariana González</t>
  </si>
  <si>
    <r>
      <t xml:space="preserve">no submenu LATEST TECH UPDATE, abaixo do titulo do post, clicar no hyperlink </t>
    </r>
    <r>
      <rPr>
        <b/>
        <sz val="11"/>
        <color theme="1"/>
        <rFont val="Calibri"/>
        <family val="2"/>
        <scheme val="minor"/>
      </rPr>
      <t>Mariana González</t>
    </r>
  </si>
  <si>
    <t>ser direcionado para uma página contendo todas as postagens realizadas pela Mariana González</t>
  </si>
  <si>
    <t>6.5</t>
  </si>
  <si>
    <t>6.6</t>
  </si>
  <si>
    <t>clicar na imagem OU no titulo do post 'Como criar uma política de segurança da informação'</t>
  </si>
  <si>
    <t>clicar na imagem OU no titulo do post 'Como automatizar a consulta de antecedentes criminais?'</t>
  </si>
  <si>
    <t>6.7</t>
  </si>
  <si>
    <t>Acessar o primeiro post do submenu CONTEÚDOS MAIS LIDOS</t>
  </si>
  <si>
    <t>6.8</t>
  </si>
  <si>
    <t>no post indicado com o número um, clicar na imagem OU no titulo do post 'Quais são os tipos de corrupção no Brasil?'</t>
  </si>
  <si>
    <t>ser direcionado para o post com a url https://blog.idwall.co/corrupcao-tipos-no-brasil/</t>
  </si>
  <si>
    <t>6.9</t>
  </si>
  <si>
    <t>Acessar o segundo post do submenu CONTEÚDOS MAIS LIDOS</t>
  </si>
  <si>
    <t>no post indicado com o número dois, clicar na imagem OU no titulo do post 'Conheça agora os 6 melhores cursos de compliance'</t>
  </si>
  <si>
    <t>ser direcionado para o post com a url https://blog.idwall.co/curso-de-compliance-6-melhores/</t>
  </si>
  <si>
    <t>7.0</t>
  </si>
  <si>
    <t>Acessar o terceiro post do submenu CONTEÚDOS MAIS LIDOS</t>
  </si>
  <si>
    <t>no post indicado com o número três, clicar na imagem OU no titulo do post 'O que é uma Pessoa Politicamente Exposta (PEP) e os riscos para o seu negócio</t>
  </si>
  <si>
    <t>ser direcionado para o post com a url https://blog.idwall.co/o-que-e-uma-pessoa-politicamente-exposta/</t>
  </si>
  <si>
    <t>7.1</t>
  </si>
  <si>
    <t>Acessar o quarto post do submenu CONTEÚDOS MAIS LIDOS</t>
  </si>
  <si>
    <t>no post indicado com o número quartro, clicar na imagem OU no titulo do post 'Empresas onshore e offshore: entenda as principais diferenças</t>
  </si>
  <si>
    <t>ser direcionado para o post com a url https://blog.idwall.co/onshore-e-offshore-entenda-as-diferencas/</t>
  </si>
  <si>
    <t>7.2</t>
  </si>
  <si>
    <t>Acessar o quinto post do submenu CONTEÚDOS MAIS LIDOS</t>
  </si>
  <si>
    <t>no post indicado com o número cinco, clicar na imagem OU no titulo do post 'Conheça as três etapas da lavagem de dinheiro'</t>
  </si>
  <si>
    <t>ser direcionado para o post com a url https://blog.idwall.co/etapas-da-lavagem-de-dinheiro/</t>
  </si>
  <si>
    <t>7.3</t>
  </si>
  <si>
    <t>Acessar os posts do submenu PUBLICAÇÕES RECENTES</t>
  </si>
  <si>
    <t>7.4</t>
  </si>
  <si>
    <t>7.5</t>
  </si>
  <si>
    <t>7.6</t>
  </si>
  <si>
    <t>7.7</t>
  </si>
  <si>
    <t>ser direcionado para a url https://blog.idwall.co/page/2/</t>
  </si>
  <si>
    <t>7.8</t>
  </si>
  <si>
    <t>clicar no botão 3, abaixo dos últimos posts no submenu LATEST TECH UPDATE</t>
  </si>
  <si>
    <t>clicar no botão 2, abaixo dos últimos posts no submenu LATEST TECH UPDATE</t>
  </si>
  <si>
    <t>ser direcionado para a url https://blog.idwall.co/page/3/</t>
  </si>
  <si>
    <t>7.9</t>
  </si>
  <si>
    <t>clicar no botão 30, abaixo dos últimos posts no submenu LATEST TECH UPDATE</t>
  </si>
  <si>
    <t>ser direcionado para a url https://blog.idwall.co/page/30/</t>
  </si>
  <si>
    <t>Acessar a página seguinte de posts via next page button</t>
  </si>
  <si>
    <t>Acessar a última página de posts via page number button</t>
  </si>
  <si>
    <t>Acessar a terceira página de posts via page number button</t>
  </si>
  <si>
    <t>Acessar a segunda página de posts via page number button</t>
  </si>
  <si>
    <t>clicar no botão next &gt;, abaixo dos últimos posts no submenu LATEST TECH UPDATE</t>
  </si>
  <si>
    <t>8.0</t>
  </si>
  <si>
    <t>8.1</t>
  </si>
  <si>
    <t>Acessar o menu PODCAST via footer menu</t>
  </si>
  <si>
    <t>No header menu, clicar no hyperlink PODCAST</t>
  </si>
  <si>
    <t>No header menu, clicar no hyperlink IDWALL NEWS</t>
  </si>
  <si>
    <t>No header menu, clicar no hyperlink ANTI-FRAUDE</t>
  </si>
  <si>
    <t>No header menu, clicar no hyperlink FINTECH</t>
  </si>
  <si>
    <t>No header menu, clicar no hyperlink BACKGROUND CHECKING</t>
  </si>
  <si>
    <t>No header menu, clicar no hyperlink DUE DILIGENCE</t>
  </si>
  <si>
    <t>No header menu, clicar no hyperlink STARTUP</t>
  </si>
  <si>
    <t>No header menu, clicar no hyperlink OUTROS</t>
  </si>
  <si>
    <t>8.2</t>
  </si>
  <si>
    <t>Acessar o menu IDWALL  NEWS via footer menu</t>
  </si>
  <si>
    <t>No footer menu, clicar no hyperlink podcast</t>
  </si>
  <si>
    <t>No footer menu, clicar no hyperlink idwall news</t>
  </si>
  <si>
    <t>8.3</t>
  </si>
  <si>
    <t>Acessar o menu ANTI-FRAUDE via footer menu</t>
  </si>
  <si>
    <t>No footer menu, clicar no hyperlink Anti-fraude</t>
  </si>
  <si>
    <t>8.4</t>
  </si>
  <si>
    <t>Acessar o menu FINTECH via footer menu</t>
  </si>
  <si>
    <t>No footer menu, clicar no hyperlink Fintech</t>
  </si>
  <si>
    <t>8.5</t>
  </si>
  <si>
    <t>No footer menu, clicar no hyperlink Background Checking</t>
  </si>
  <si>
    <t>8.6</t>
  </si>
  <si>
    <t>Acessar o menu BACKGROUND CHECKING via footer menu</t>
  </si>
  <si>
    <t>Acessar o menu DUE DILIGENCE via footer menu</t>
  </si>
  <si>
    <t>No footer menu, clicar no hyperlink Due Diligence</t>
  </si>
  <si>
    <t>8.7</t>
  </si>
  <si>
    <t>Acessar o menu STARTUP via footer menu</t>
  </si>
  <si>
    <t>No footer menu, clicar no hyperlink Startup</t>
  </si>
  <si>
    <t>8.8</t>
  </si>
  <si>
    <t>Acessar o menu OUTROS via footer menu</t>
  </si>
  <si>
    <t>No footer menu, clicar no hyperlink Outros</t>
  </si>
  <si>
    <t>8.9</t>
  </si>
  <si>
    <t>No footer menu, clicar no hyperlink idwall em azul</t>
  </si>
  <si>
    <t>ser direcionado para a url https://blog.idwall.co/</t>
  </si>
  <si>
    <t>9.0</t>
  </si>
  <si>
    <t>Acessar a home page pelo logo idblog no header menu</t>
  </si>
  <si>
    <t>No header menu, clicar no logo idblog</t>
  </si>
  <si>
    <t>Acessar a home page pelo logo idblog no toggle menu</t>
  </si>
  <si>
    <t>9.1</t>
  </si>
  <si>
    <t>Clicar no icone do toggle menu, e em seguida clicar no logo idblog</t>
  </si>
  <si>
    <t>DADOS DOS TESTES</t>
  </si>
  <si>
    <t>PROCEDIMENTO</t>
  </si>
  <si>
    <t>RESULTADO ESPERADO</t>
  </si>
  <si>
    <t>RESULTADO OBTIDO/DETALHES DE BUGS</t>
  </si>
  <si>
    <t>REPROVADO</t>
  </si>
  <si>
    <t>INDICE</t>
  </si>
  <si>
    <r>
      <t xml:space="preserve">direcionado corretamente. Verificar na planilha </t>
    </r>
    <r>
      <rPr>
        <b/>
        <sz val="9"/>
        <rFont val="Calibri"/>
        <family val="2"/>
        <scheme val="minor"/>
      </rPr>
      <t>Metricas&amp;Defeitos</t>
    </r>
    <r>
      <rPr>
        <sz val="9"/>
        <rFont val="Calibri"/>
        <family val="2"/>
        <scheme val="minor"/>
      </rPr>
      <t xml:space="preserve"> para mais detalhes.</t>
    </r>
  </si>
  <si>
    <r>
      <t xml:space="preserve">resultado exibido corretamente. Verificar na planilha </t>
    </r>
    <r>
      <rPr>
        <b/>
        <sz val="9"/>
        <rFont val="Calibri"/>
        <family val="2"/>
        <scheme val="minor"/>
      </rPr>
      <t>Metricas&amp;Defeitos</t>
    </r>
    <r>
      <rPr>
        <sz val="9"/>
        <rFont val="Calibri"/>
        <family val="2"/>
        <scheme val="minor"/>
      </rPr>
      <t xml:space="preserve"> para mais detalhes.</t>
    </r>
  </si>
  <si>
    <r>
      <t xml:space="preserve">icones/links inexistentes. Verificar na planilha </t>
    </r>
    <r>
      <rPr>
        <b/>
        <sz val="9"/>
        <rFont val="Calibri"/>
        <family val="2"/>
        <scheme val="minor"/>
      </rPr>
      <t>Metricas&amp;Defeitos</t>
    </r>
    <r>
      <rPr>
        <sz val="9"/>
        <rFont val="Calibri"/>
        <family val="2"/>
        <scheme val="minor"/>
      </rPr>
      <t xml:space="preserve"> para mais detalhes.</t>
    </r>
  </si>
  <si>
    <r>
      <t xml:space="preserve">direcionado incorretamente.Verificar na planilha </t>
    </r>
    <r>
      <rPr>
        <b/>
        <sz val="9"/>
        <rFont val="Calibri"/>
        <family val="2"/>
        <scheme val="minor"/>
      </rPr>
      <t xml:space="preserve">Metricas&amp;Defeitos </t>
    </r>
    <r>
      <rPr>
        <sz val="9"/>
        <rFont val="Calibri"/>
        <family val="2"/>
        <scheme val="minor"/>
      </rPr>
      <t>para mais detalhes.</t>
    </r>
  </si>
  <si>
    <t>Acessar o site da idwall pelo link idwall no footer menu</t>
  </si>
  <si>
    <t>ser direcionado para a url https://idwall.co/</t>
  </si>
  <si>
    <t>Assinar a newsletter no primeiro acesso ao blog</t>
  </si>
  <si>
    <r>
      <t xml:space="preserve">No primeiro acesso ao blog, no header azul, preencher com um email válido no campo de texto e clicar no botão </t>
    </r>
    <r>
      <rPr>
        <b/>
        <sz val="11"/>
        <color theme="1"/>
        <rFont val="Calibri"/>
        <family val="2"/>
        <scheme val="minor"/>
      </rPr>
      <t>Quero ficar por dentro!</t>
    </r>
    <r>
      <rPr>
        <sz val="11"/>
        <color theme="1"/>
        <rFont val="Calibri"/>
        <family val="2"/>
        <scheme val="minor"/>
      </rPr>
      <t xml:space="preserve"> Em verde.</t>
    </r>
  </si>
  <si>
    <t>Confirmar a assinatura com a mensagem Obrigado por inscrever-se!</t>
  </si>
  <si>
    <t>inscrição feita corretamente</t>
  </si>
  <si>
    <t>PLANEJAMENTO DE TESTES</t>
  </si>
  <si>
    <r>
      <t xml:space="preserve">Essa planilha tem como intuito de documentar todo o roteiro e planejamento dos testes no blog da idwall, referente ao teste técnico de QA Jr.
</t>
    </r>
    <r>
      <rPr>
        <b/>
        <sz val="11"/>
        <color theme="1" tint="0.249977111117893"/>
        <rFont val="Calibri"/>
        <family val="2"/>
        <scheme val="minor"/>
      </rPr>
      <t xml:space="preserve">Instruções:
</t>
    </r>
    <r>
      <rPr>
        <sz val="11"/>
        <color theme="1" tint="0.249977111117893"/>
        <rFont val="Calibri"/>
        <family val="2"/>
        <scheme val="minor"/>
      </rPr>
      <t xml:space="preserve">
1. Na aba "Roteiro de Teste" constam todos os dados necessários e pertinentes para o planejamento e a execução dos testes. Cada 'caso de teste' está separado por linhas, e os estados/etapas dos casos estão separados por colunas;
2. Para alguns testes foram adicionadas informações e observações pertinentes para o desafio em si. Essas informações estão em outra planilha chamada Metricas&amp;Defeitos, na primeira aba Observações;
3. Para os testes que tem o status REPROVADO, isto é, não realizaram aquilo que era esperado, foi criado uma aba Registro de Bugs, contendo mais detalhes e prints da tela a respeito dos defeitos encontrados. Essa aba está na planilha Metricas&amp;Defeitos;
4. O total de testes APROVADOS, total de testes REPROVADOS e um breve sumário a respeito das métricas utilizadas nesse desafio, estão na aba Métricas. Essa aba está também na planilha Metricas&amp;Defeitos.
</t>
    </r>
    <r>
      <rPr>
        <b/>
        <sz val="11"/>
        <color rgb="FFFF0000"/>
        <rFont val="Calibri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</si>
</sst>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0" xfId="0" applyFill="1"/>
    <xf numFmtId="0" fontId="0" fillId="0" borderId="3" xfId="0" applyBorder="1"/>
    <xf numFmtId="0" fontId="0" fillId="0" borderId="0" xfId="0" applyAlignment="1">
      <alignment horizontal="left" indent="1"/>
    </xf>
    <xf numFmtId="0" fontId="5" fillId="3" borderId="4" xfId="0" applyFont="1" applyFill="1" applyBorder="1" applyAlignment="1" applyProtection="1">
      <alignment horizontal="left" vertical="center" indent="1"/>
    </xf>
    <xf numFmtId="0" fontId="5" fillId="3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left" vertical="center" indent="2"/>
    </xf>
    <xf numFmtId="0" fontId="8" fillId="0" borderId="4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0" borderId="6" xfId="0" applyBorder="1"/>
    <xf numFmtId="0" fontId="1" fillId="2" borderId="6" xfId="0" applyFont="1" applyFill="1" applyBorder="1"/>
    <xf numFmtId="0" fontId="0" fillId="0" borderId="6" xfId="0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6" xfId="1" applyFont="1" applyBorder="1" applyAlignment="1">
      <alignment horizontal="center"/>
    </xf>
    <xf numFmtId="0" fontId="3" fillId="0" borderId="0" xfId="0" applyFont="1" applyAlignment="1">
      <alignment horizontal="left" vertical="center" wrapText="1"/>
    </xf>
    <xf numFmtId="0" fontId="7" fillId="0" borderId="4" xfId="0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2" xfId="0" applyFill="1" applyBorder="1"/>
    <xf numFmtId="0" fontId="2" fillId="4" borderId="0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15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6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734.609897685186" createdVersion="5" refreshedVersion="5" minRefreshableVersion="3" recordCount="80">
  <cacheSource type="worksheet">
    <worksheetSource ref="B6:G86" sheet="Roteiro de Teste"/>
  </cacheSource>
  <cacheFields count="12">
    <cacheField name="ETAPA DO TESTE" numFmtId="0">
      <sharedItems containsBlank="1" count="11">
        <s v="1. UNIDADE"/>
        <s v="2. INTEGRAÇÃO"/>
        <s v="4. ACEITAÇÃO"/>
        <s v="3. SISTEMA"/>
        <s v="5. OPERAÇÃO"/>
        <s v="ACEITAÇÃO" u="1"/>
        <m u="1"/>
        <s v="UNIDADE" u="1"/>
        <s v="OPERAÇÃO" u="1"/>
        <s v="INTEGRAÇÃO" u="1"/>
        <s v="SISTEMA" u="1"/>
      </sharedItems>
    </cacheField>
    <cacheField name="CATEGORIA" numFmtId="0">
      <sharedItems containsBlank="1" count="4">
        <s v="POSITIVO"/>
        <s v="NEGATIVO"/>
        <s v="STRESS"/>
        <m u="1"/>
      </sharedItems>
    </cacheField>
    <cacheField name="FUNCIONALIDADE" numFmtId="0">
      <sharedItems containsBlank="1" count="4">
        <s v="ALTERAÇÃO DE PRODUTO"/>
        <s v="INCLUSÃO DE PRODUTO"/>
        <s v="EXCLUSÃO DE PRODUTO"/>
        <m u="1"/>
      </sharedItems>
    </cacheField>
    <cacheField name="DADOS DOS TESTES" numFmtId="0">
      <sharedItems/>
    </cacheField>
    <cacheField name="PROCEDIMENTO" numFmtId="0">
      <sharedItems/>
    </cacheField>
    <cacheField name="RESULTADO ESPERADO" numFmtId="0">
      <sharedItems/>
    </cacheField>
    <cacheField name="CRITICIDADE" numFmtId="0">
      <sharedItems containsBlank="1" count="12">
        <s v="5. MUITO ALTA"/>
        <s v="6. EXTREMA"/>
        <s v="3. MÉDIA"/>
        <s v="2. BAIXA"/>
        <s v="4. ALTA"/>
        <s v="1. MUITO BAIXA"/>
        <m u="1"/>
        <s v="EXTREMA" u="1"/>
        <s v="MÉDIA" u="1"/>
        <s v="ALTA" u="1"/>
        <s v="BAIXA" u="1"/>
        <s v="MUITO ALTA" u="1"/>
      </sharedItems>
    </cacheField>
    <cacheField name="RESULTADO OBTIDO/DETALHES DE BUGS" numFmtId="0">
      <sharedItems containsBlank="1"/>
    </cacheField>
    <cacheField name="RESPONSÁVEL" numFmtId="0">
      <sharedItems containsBlank="1" count="6">
        <s v=""/>
        <m u="1"/>
        <s v="INFRAESTRUTURA" u="1"/>
        <s v="ÁREA DE NEGÓCIOS" u="1"/>
        <s v="TECNOLOGIA" u="1"/>
        <s v="CLIENTE" u="1"/>
      </sharedItems>
    </cacheField>
    <cacheField name="STATUS DOS TESTES" numFmtId="0">
      <sharedItems containsBlank="1" count="8">
        <s v="APROVADO"/>
        <s v="REPROVADO"/>
        <m u="1"/>
        <s v="EM EXECUÇÃO" u="1"/>
        <s v="EM CORREÇÃO" u="1"/>
        <s v="NÃO INICIADO" u="1"/>
        <s v="COM PROBLEMAS" u="1"/>
        <s v="RETESTAR" u="1"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s v="Acessar o menu PODCAST"/>
    <s v="No header menu, clicar no hyperlink PODCAST"/>
    <s v="ser direcionado para a url https://blog.idwall.co/idtalks/"/>
    <x v="0"/>
    <s v="Direcionado corretamente"/>
    <x v="0"/>
    <x v="0"/>
  </r>
  <r>
    <x v="1"/>
    <x v="1"/>
    <x v="1"/>
    <s v="Acessar o menu IDWALL NEWS"/>
    <s v="No header menu, clicar no hyperlink IDWALL NEWS"/>
    <s v="ser direcionado para a url https://blog.idwall.co/category/idwall-news/"/>
    <x v="1"/>
    <s v="Direcionado corretamente"/>
    <x v="0"/>
    <x v="0"/>
  </r>
  <r>
    <x v="2"/>
    <x v="2"/>
    <x v="2"/>
    <s v="Acessar o menu ANTI-FRAUDE"/>
    <s v="No header menu, clicar no hyperlink ANTI-FRAUDE"/>
    <s v="ser direcionado para a url https://blog.idwall.co/category/anti-fraude/"/>
    <x v="2"/>
    <s v="Direcionado corretamente"/>
    <x v="0"/>
    <x v="0"/>
  </r>
  <r>
    <x v="3"/>
    <x v="0"/>
    <x v="0"/>
    <s v="Acessar o menu FINTECH"/>
    <s v="No header menu, clicar no hyperlink FINTECH"/>
    <s v="ser direcionado para a url https://blog.idwall.co/category/fintech/"/>
    <x v="3"/>
    <s v="Direcionado corretamente"/>
    <x v="0"/>
    <x v="0"/>
  </r>
  <r>
    <x v="4"/>
    <x v="1"/>
    <x v="1"/>
    <s v="Acessar o menu BACKGROUND CHECKING"/>
    <s v="No header menu, clicar no hyperlink BACKGROUND CHECKING"/>
    <s v="ser direcionado para a url https://blog.idwall.co/category/background-checking/"/>
    <x v="4"/>
    <s v="Direcionado corretamente"/>
    <x v="0"/>
    <x v="0"/>
  </r>
  <r>
    <x v="1"/>
    <x v="2"/>
    <x v="2"/>
    <s v="Acessar o menu DUE DILIGENCE"/>
    <s v="No header menu, clicar no hyperlink DUE DILIGENCE"/>
    <s v="ser direcionado para a url https://blog.idwall.co/category/due-diligence/"/>
    <x v="5"/>
    <s v="Direcionado corretamente"/>
    <x v="0"/>
    <x v="0"/>
  </r>
  <r>
    <x v="2"/>
    <x v="0"/>
    <x v="0"/>
    <s v="Acessar o menu STARTUP"/>
    <s v="No header menu, clicar no hyperlink STARTUP"/>
    <s v="ser direcionado para a url https://blog.idwall.co/category/startup/"/>
    <x v="1"/>
    <s v="Direcionado corretamente"/>
    <x v="0"/>
    <x v="0"/>
  </r>
  <r>
    <x v="3"/>
    <x v="1"/>
    <x v="1"/>
    <s v="Acessar o menu OUTROS"/>
    <s v="No header menu, clicar no hyperlink OUTROS"/>
    <s v="ser direcionado para a url https://blog.idwall.co/category/outros/"/>
    <x v="2"/>
    <s v="Direcionado corretamente"/>
    <x v="0"/>
    <x v="0"/>
  </r>
  <r>
    <x v="4"/>
    <x v="2"/>
    <x v="2"/>
    <s v="Acessar o menu PODCAST via toggle menu lateral"/>
    <s v="Clicar no icone do toggle menu, e em seguida no menu lateral direito clicar no hyperlink PODCAST"/>
    <s v="ser direcionado para a url https://blog.idwall.co/idtalks/"/>
    <x v="3"/>
    <s v="Direcionado corretamente"/>
    <x v="0"/>
    <x v="0"/>
  </r>
  <r>
    <x v="0"/>
    <x v="0"/>
    <x v="0"/>
    <s v="Acessar o menu IDWALL NEWS via toggle menu lateral"/>
    <s v="Clicar no icone do toggle menu, e em seguida no menu lateral direito clicar no hyperlink IDWALL NEWS"/>
    <s v="ser direcionado para a url https://blog.idwall.co/category/idwall-news/"/>
    <x v="4"/>
    <s v="Direcionado corretamente"/>
    <x v="0"/>
    <x v="0"/>
  </r>
  <r>
    <x v="1"/>
    <x v="0"/>
    <x v="1"/>
    <s v="Acessar o menu ANTI-FRAUDE via toggle menu lateral"/>
    <s v="Clicar no icone do toggle menu, e em seguida no menu lateral direito clicar no hyperlink ANTI-FRAUDE"/>
    <s v="ser direcionado para a url https://blog.idwall.co/category/anti-fraude/"/>
    <x v="5"/>
    <s v="Direcionado corretamente"/>
    <x v="0"/>
    <x v="0"/>
  </r>
  <r>
    <x v="2"/>
    <x v="1"/>
    <x v="0"/>
    <s v="Acessar o menu FINTECH via toggle menu lateral"/>
    <s v="Clicar no icone do toggle menu, e em seguida no menu lateral direito clicar no hyperlink FINTECH"/>
    <s v="ser direcionado para a url https://blog.idwall.co/category/fintech/"/>
    <x v="1"/>
    <s v="Direcionado corretamente"/>
    <x v="0"/>
    <x v="0"/>
  </r>
  <r>
    <x v="3"/>
    <x v="2"/>
    <x v="1"/>
    <s v="Acessar o menu BACKGROUND CHECKING via toggle menu lateral"/>
    <s v="Clicar no icone do toggle menu, e em seguida no menu lateral direito clicar no hyperlink BACKGROUND CHECKING"/>
    <s v="ser direcionado para a url https://blog.idwall.co/category/background-checking/"/>
    <x v="2"/>
    <s v="Direcionado corretamente"/>
    <x v="0"/>
    <x v="0"/>
  </r>
  <r>
    <x v="4"/>
    <x v="0"/>
    <x v="2"/>
    <s v="Acessar o menu DUE DILIGENCE via toggle menu lateral"/>
    <s v="Clicar no icone do toggle menu, e em seguida no menu lateral direito clicar no hyperlink DUE DILIGENCE"/>
    <s v="ser direcionado para a url https://blog.idwall.co/category/due-diligence/"/>
    <x v="3"/>
    <s v="Direcionado corretamente"/>
    <x v="0"/>
    <x v="0"/>
  </r>
  <r>
    <x v="0"/>
    <x v="1"/>
    <x v="0"/>
    <s v="Acessar o menu STARTUP via toggle menu lateral"/>
    <s v="Clicar no icone do toggle menu, e em seguida no menu lateral direito clicar no hyperlink STARTUP"/>
    <s v="ser direcionado para a url https://blog.idwall.co/category/startup/"/>
    <x v="4"/>
    <s v="Direcionado corretamente"/>
    <x v="0"/>
    <x v="0"/>
  </r>
  <r>
    <x v="1"/>
    <x v="2"/>
    <x v="1"/>
    <s v="Acessar o menu OUTROS via toggle menu lateral"/>
    <s v="Clicar no icone do toggle menu, e em seguida no menu lateral direito clicar no hyperlink OUTROS"/>
    <s v="ser direcionado para a url https://blog.idwall.co/category/outros/"/>
    <x v="5"/>
    <s v="Direcionado corretamente"/>
    <x v="0"/>
    <x v="0"/>
  </r>
  <r>
    <x v="2"/>
    <x v="0"/>
    <x v="2"/>
    <s v="Acessar a barra de pesquisa e buscar por um resultado válido"/>
    <s v="Clicar no icone da lupa, inserir valores válidos e apertar a tecla ENTER"/>
    <s v="exibir na página de resultados as postagens contendo os valores pesquisados"/>
    <x v="1"/>
    <s v="resultado exibido corretamente"/>
    <x v="0"/>
    <x v="0"/>
  </r>
  <r>
    <x v="3"/>
    <x v="1"/>
    <x v="0"/>
    <s v="Verificar o carrosel de imagens da área de banners"/>
    <s v="Clicar nos seis checkbox referente a cada imagem dos banner"/>
    <s v="ser exibido a imagem dos seis banner referente a cada um dos posts"/>
    <x v="2"/>
    <m/>
    <x v="0"/>
    <x v="0"/>
  </r>
  <r>
    <x v="4"/>
    <x v="2"/>
    <x v="1"/>
    <s v="Acessar o primeiro post da area de banners/carrosel de imagens"/>
    <s v="Selecionar o primeiro checkbox referente ao primeiro banner, e clicar na imagem, no titulo do post OU no botão READ MORE"/>
    <s v="ser direcionado para o post com a url https://blog.idwall.co/bacen-quer-implementar-sistema-instantaneo-de-pagamentos/"/>
    <x v="3"/>
    <m/>
    <x v="0"/>
    <x v="0"/>
  </r>
  <r>
    <x v="0"/>
    <x v="0"/>
    <x v="2"/>
    <s v="Acessar o menu IDWALL - NEWS via primeiro banner"/>
    <s v="Selecionar o primeiro checkbox referente ao primeiro banner, e acima do titulo do post clicar no hyperlink IDwall - News"/>
    <s v="ser direcionado para a url https://blog.idwall.co/category/idwall-news/"/>
    <x v="4"/>
    <m/>
    <x v="0"/>
    <x v="0"/>
  </r>
  <r>
    <x v="1"/>
    <x v="1"/>
    <x v="0"/>
    <s v="Acessar o menu MERCADO via primeiro banner"/>
    <s v="Selecionar o primeiro checkbox referente ao primeiro banner, e acima do titulo do post clicar no hyperlink mercado"/>
    <s v="ser direcionado para a url https://blog.idwall.co/category/mercado/"/>
    <x v="5"/>
    <m/>
    <x v="0"/>
    <x v="0"/>
  </r>
  <r>
    <x v="2"/>
    <x v="2"/>
    <x v="1"/>
    <s v="Acessar o segundo post da area de banners/carrosel de imagens"/>
    <s v="Selecionar o segundo checkbox referente ao segundo banner, e clicar na imagem, no titulo do post OU no botão READ MORE"/>
    <s v="ser direcionado para o post com a url https://blog.idwall.co/o-que-e-acuracia/"/>
    <x v="1"/>
    <m/>
    <x v="0"/>
    <x v="0"/>
  </r>
  <r>
    <x v="3"/>
    <x v="0"/>
    <x v="2"/>
    <s v="Acessar o menu OUTROS via segundo banner"/>
    <s v="Selecionar o segundo checkbox referente ao segundo banner, e acima do titulo do post clicar no hyperlink Outros"/>
    <s v="ser direcionado para a url https://blog.idwall.co/category/outros/"/>
    <x v="2"/>
    <m/>
    <x v="0"/>
    <x v="0"/>
  </r>
  <r>
    <x v="4"/>
    <x v="1"/>
    <x v="0"/>
    <s v="Acessar o terceiro post da area de banners/carrosel de imagens"/>
    <s v="Selecionar o terceiro checkbox referente ao terceiro banner, e clicar na imagem, no titulo do post OU no botão READ MORE"/>
    <s v="ser direcionado para o post com a url https://blog.idwall.co/kyc-tudo-sobre-know-your-customer/"/>
    <x v="3"/>
    <m/>
    <x v="0"/>
    <x v="0"/>
  </r>
  <r>
    <x v="0"/>
    <x v="2"/>
    <x v="1"/>
    <s v="Acessar o menu IDWALL - NEWS via terceiro banner"/>
    <s v="Selecionar o terceiro checkbox referente ao terceiro banner, e acima do titulo do post clicar no hyperlink IDwall - News"/>
    <s v="ser direcionado para a url https://blog.idwall.co/category/idwall-news/"/>
    <x v="4"/>
    <m/>
    <x v="0"/>
    <x v="0"/>
  </r>
  <r>
    <x v="1"/>
    <x v="0"/>
    <x v="2"/>
    <s v="Acessar o quarto post da area de banners/carrosel de imagens"/>
    <s v="Selecionar o quarto checkbox referente ao quarto banner, e clicar na imagem, no titulo do post OU no botão READ MORE"/>
    <s v="ser direcionado para o post com a url https://blog.idwall.co/throughput-de-clientes-como-aumentar/"/>
    <x v="5"/>
    <m/>
    <x v="0"/>
    <x v="0"/>
  </r>
  <r>
    <x v="2"/>
    <x v="1"/>
    <x v="0"/>
    <s v="Acessar o menu MERCADO via quarto banner"/>
    <s v="Selecionar o quarto checkbox referente ao quarto banner, e acima do titulo do post clicar no hyperlink mercado"/>
    <s v="ser direcionado para a url https://blog.idwall.co/category/mercado/"/>
    <x v="1"/>
    <m/>
    <x v="0"/>
    <x v="0"/>
  </r>
  <r>
    <x v="3"/>
    <x v="2"/>
    <x v="1"/>
    <s v="Acessar o quinto post da area de banners/carrosel de imagens"/>
    <s v="Selecionar o quinto checkbox referente ao quinto banner, e clicar na imagem, no titulo do post OU no botão READ MORE"/>
    <s v="ser direcionado para o post com a url https://blog.idwall.co/politica-de-seguranca-da-informacao-como-criar/"/>
    <x v="2"/>
    <m/>
    <x v="0"/>
    <x v="0"/>
  </r>
  <r>
    <x v="4"/>
    <x v="0"/>
    <x v="2"/>
    <s v="Acessar o menu OUTROS via quinto banner"/>
    <s v="Selecionar o quinto checkbox referente ao quinto banner, e acima do titulo do post clicar no hyperlink outros"/>
    <s v="ser direcionado para a url https://blog.idwall.co/category/outros/"/>
    <x v="3"/>
    <m/>
    <x v="0"/>
    <x v="0"/>
  </r>
  <r>
    <x v="0"/>
    <x v="1"/>
    <x v="0"/>
    <s v="Acessar o sexto post da area de banners/carrosel de imagens"/>
    <s v="Selecionar o sexto checkbox referente ao sextobanner, e clicar na imagem, no titulo do post OU no botão READ MORE"/>
    <s v="ser direcionado para o post com a url https://blog.idwall.co/como-automatizar-a-consulta-de-antecedentes-criminais/"/>
    <x v="4"/>
    <m/>
    <x v="0"/>
    <x v="0"/>
  </r>
  <r>
    <x v="1"/>
    <x v="2"/>
    <x v="1"/>
    <s v="Acessar o menu OUTROS via sexto banner"/>
    <s v="Selecionar o sexto checkbox referente ao sexto banner, e acima do titulo do post clicar no hyperlink outros"/>
    <s v="ser direcionado para a url https://blog.idwall.co/category/outros/"/>
    <x v="5"/>
    <m/>
    <x v="0"/>
    <x v="0"/>
  </r>
  <r>
    <x v="2"/>
    <x v="0"/>
    <x v="2"/>
    <s v="Acessar o menu ANTI-FRAUDE via submenu CATEGORIAS"/>
    <s v="clicar na combobox 'selecionar categoria' e em seguida clicar na opção Anti-fraude"/>
    <s v="ser direcionado para a url https://blog.idwall.co/category/anti-fraude/"/>
    <x v="1"/>
    <m/>
    <x v="0"/>
    <x v="0"/>
  </r>
  <r>
    <x v="3"/>
    <x v="1"/>
    <x v="0"/>
    <s v="Acessar o menu BACKGROUND CHECK via submenu CATEGORIAS"/>
    <s v="clicar na combobox 'selecionar categoria' e em seguida clicar na opção Background Check"/>
    <s v="ser direcionado para a url https://blog.idwall.co/category/background-check/"/>
    <x v="2"/>
    <m/>
    <x v="0"/>
    <x v="0"/>
  </r>
  <r>
    <x v="4"/>
    <x v="2"/>
    <x v="1"/>
    <s v="Acessar o menu BACKGROUND CHECKING via submenu CATEGORIAS"/>
    <s v="clicar na combobox 'selecionar categoria' e em seguida clicar na opção Background Checking"/>
    <s v="ser direcionado para a url https://blog.idwall.co/category/background-checking/"/>
    <x v="3"/>
    <m/>
    <x v="0"/>
    <x v="0"/>
  </r>
  <r>
    <x v="0"/>
    <x v="0"/>
    <x v="2"/>
    <s v="Acessar o menu DUE DILIGENCE via submenu CATEGORIAS"/>
    <s v="clicar na combobox 'selecionar categoria' e em seguida clicar na opção Due Diligence"/>
    <s v="ser direcionado para a url https://blog.idwall.co/category/due-diligence/"/>
    <x v="4"/>
    <m/>
    <x v="0"/>
    <x v="0"/>
  </r>
  <r>
    <x v="1"/>
    <x v="1"/>
    <x v="0"/>
    <s v="Acessar o menu ECONOMY via submenu CATEGORIAS"/>
    <s v="clicar na combobox 'selecionar categoria' e em seguida clicar na opção Economy"/>
    <s v="ser direcionado para a url https://blog.idwall.co/category/outros/economy/"/>
    <x v="5"/>
    <m/>
    <x v="0"/>
    <x v="0"/>
  </r>
  <r>
    <x v="2"/>
    <x v="2"/>
    <x v="1"/>
    <s v="Acessar o menu FINTECH via submenu CATEGORIAS"/>
    <s v="clicar na combobox 'selecionar categoria' e em seguida clicar na opção Fintech"/>
    <s v="ser direcionado para a url https://blog.idwall.co/category/fintech/"/>
    <x v="1"/>
    <m/>
    <x v="0"/>
    <x v="0"/>
  </r>
  <r>
    <x v="3"/>
    <x v="0"/>
    <x v="2"/>
    <s v="Acessar o menu idcast via submenu CATEGORIAS"/>
    <s v="clicar na combobox 'selecionar categoria' e em seguida clicar na opção idcast"/>
    <s v="ser direcionado para a url https://blog.idwall.co/category/idcast/"/>
    <x v="2"/>
    <m/>
    <x v="0"/>
    <x v="0"/>
  </r>
  <r>
    <x v="4"/>
    <x v="1"/>
    <x v="0"/>
    <s v="Acessar o menu idtalks via submenu CATEGORIAS"/>
    <s v="clicar na combobox 'selecionar categoria' e em seguida clicar na opção idtalks"/>
    <s v="ser direcionado para a url https://blog.idwall.co/category/idtalks/"/>
    <x v="3"/>
    <m/>
    <x v="0"/>
    <x v="0"/>
  </r>
  <r>
    <x v="0"/>
    <x v="2"/>
    <x v="1"/>
    <s v="Acessar o menu Idwall - News via submenu CATEGORIAS"/>
    <s v="clicar na combobox 'selecionar categoria' e em seguida clicar na opção Idwall - News"/>
    <s v="ser direcionado para a url https://blog.idwall.co/category/idwall-news/"/>
    <x v="4"/>
    <m/>
    <x v="0"/>
    <x v="0"/>
  </r>
  <r>
    <x v="1"/>
    <x v="0"/>
    <x v="2"/>
    <s v="Acessar o menu MERCADO via submenu CATEGORIAS"/>
    <s v="clicar na combobox 'selecionar categoria' e em seguida clicar na opção Mercado"/>
    <s v="ser direcionado para a url https://blog.idwall.co/category/mercado/"/>
    <x v="5"/>
    <m/>
    <x v="0"/>
    <x v="0"/>
  </r>
  <r>
    <x v="2"/>
    <x v="1"/>
    <x v="0"/>
    <s v="Acessar o menu OUTROS via submenu CATEGORIAS"/>
    <s v="clicar na combobox 'selecionar categoria' e em seguida clicar na opção Outros"/>
    <s v="ser direcionado para a url https://blog.idwall.co/category/outros/"/>
    <x v="1"/>
    <m/>
    <x v="0"/>
    <x v="0"/>
  </r>
  <r>
    <x v="3"/>
    <x v="2"/>
    <x v="1"/>
    <s v="Acessar o menu SEGURANÇA via submenu CATEGORIAS"/>
    <s v="clicar na combobox 'selecionar categoria' e em seguida clicar na opção Segurança"/>
    <s v="ser direcionado para a url https://blog.idwall.co/category/seguranca/"/>
    <x v="2"/>
    <m/>
    <x v="0"/>
    <x v="0"/>
  </r>
  <r>
    <x v="4"/>
    <x v="0"/>
    <x v="2"/>
    <s v="Acessar o menu STARTUP via submenu CATEGORIAS"/>
    <s v="clicar na combobox 'selecionar categoria' e em seguida clicar na opção Startup"/>
    <s v="ser direcionado para a url https://blog.idwall.co/category/startup/"/>
    <x v="3"/>
    <m/>
    <x v="0"/>
    <x v="0"/>
  </r>
  <r>
    <x v="0"/>
    <x v="1"/>
    <x v="0"/>
    <s v="Acessar os links das redes sociais no submenu SIGA-NOS NAS NOSSAS REDES"/>
    <s v="clicar no icone OU link correspondente a cada rede social exibida"/>
    <s v="ser direcionado para a página da Idwall em cada uma das redes sociais informadas no blog"/>
    <x v="4"/>
    <m/>
    <x v="0"/>
    <x v="1"/>
  </r>
  <r>
    <x v="1"/>
    <x v="2"/>
    <x v="1"/>
    <s v="Acessar os posts do submenu LATEST TECH UPDATE"/>
    <s v="clicar na imagem OU no titulo do post 'idwall lança site exclusivo sobre background check'"/>
    <s v="ser direcionado para o post com a url https://blog.idwall.co/site-exclusivo-sobre-background-check/"/>
    <x v="5"/>
    <m/>
    <x v="0"/>
    <x v="0"/>
  </r>
  <r>
    <x v="2"/>
    <x v="0"/>
    <x v="2"/>
    <s v="Acessar a sessão de posts da autora Karina Menezes"/>
    <s v="no submenu LATEST TECH UPDATE, abaixo do titulo do post, clicar no hyperlink Karina Menezes"/>
    <s v="ser direcionado para uma página contendo todas as postagens realizadas pela Karina Menezes."/>
    <x v="1"/>
    <m/>
    <x v="0"/>
    <x v="1"/>
  </r>
  <r>
    <x v="3"/>
    <x v="1"/>
    <x v="0"/>
    <s v="Acessar os posts do submenu LATEST TECH UPDATE"/>
    <s v="clicar na imagem OU no titulo do post 'Os melhores prêmios de inovação para inscrever sua empresa em 2020'"/>
    <s v="ser direcionado para o post com a url https://blog.idwall.co/premios-de-inovacao-2020/"/>
    <x v="2"/>
    <m/>
    <x v="0"/>
    <x v="0"/>
  </r>
  <r>
    <x v="4"/>
    <x v="2"/>
    <x v="1"/>
    <s v="Acessar a sessão de posts da autora Nathalia Paz"/>
    <s v="no submenu LATEST TECH UPDATE, abaixo do titulo do post, clicar no hyperlink Nathalia Paz"/>
    <s v="ser direcionado para uma página contendo todas as postagens realizadas pela Nathalia Paz."/>
    <x v="3"/>
    <m/>
    <x v="0"/>
    <x v="1"/>
  </r>
  <r>
    <x v="0"/>
    <x v="0"/>
    <x v="2"/>
    <s v="Acessar os posts do submenu LATEST TECH UPDATE"/>
    <s v="clicar na imagem OU no titulo do post 'BACEN quer implementar sistema instantâneo de pagamentos até 2020'"/>
    <s v="ser direcionado para o post com a url https://blog.idwall.co/bacen-quer-implementar-sistema-instantaneo-de-pagamentos/"/>
    <x v="4"/>
    <m/>
    <x v="0"/>
    <x v="0"/>
  </r>
  <r>
    <x v="0"/>
    <x v="1"/>
    <x v="0"/>
    <s v="Acessar os posts do submenu LATEST TECH UPDATE"/>
    <s v="clicar na imagem OU no titulo do post 'O que é acurácia? Entenda o conceito e sua importância'"/>
    <s v="ser direcionado para o post com a url https://blog.idwall.co/o-que-e-acuracia/"/>
    <x v="0"/>
    <m/>
    <x v="0"/>
    <x v="0"/>
  </r>
  <r>
    <x v="0"/>
    <x v="2"/>
    <x v="1"/>
    <s v="Acessar a sessão de posts da autora Mariana González"/>
    <s v="no submenu LATEST TECH UPDATE, abaixo do titulo do post, clicar no hyperlink Mariana González"/>
    <s v="ser direcionado para uma página contendo todas as postagens realizadas pela Mariana González"/>
    <x v="1"/>
    <m/>
    <x v="0"/>
    <x v="1"/>
  </r>
  <r>
    <x v="0"/>
    <x v="0"/>
    <x v="2"/>
    <s v="Acessar os posts do submenu LATEST TECH UPDATE"/>
    <s v="clicar na imagem OU no titulo do post 'KYC: tudo sobre Know Your Customer para sua instituição financeira'"/>
    <s v="ser direcionado para o post com a url https://blog.idwall.co/kyc-tudo-sobre-know-your-customer/"/>
    <x v="2"/>
    <m/>
    <x v="0"/>
    <x v="0"/>
  </r>
  <r>
    <x v="0"/>
    <x v="1"/>
    <x v="0"/>
    <s v="Acessar os posts do submenu LATEST TECH UPDATE"/>
    <s v="clicar na imagem OU no titulo do post 'Como aumentar o throughput de clientes com validação de identidade automática'"/>
    <s v="ser direcionado para o post com a url https://blog.idwall.co/throughput-de-clientes-como-aumentar/"/>
    <x v="3"/>
    <m/>
    <x v="0"/>
    <x v="0"/>
  </r>
  <r>
    <x v="0"/>
    <x v="2"/>
    <x v="1"/>
    <s v="Acessar os posts do submenu LATEST TECH UPDATE"/>
    <s v="clicar na imagem OU no titulo do post 'Como criar uma política de segurança da informação'"/>
    <s v="ser direcionado para o post com a url https://blog.idwall.co/politica-de-seguranca-da-informacao-como-criar/"/>
    <x v="4"/>
    <m/>
    <x v="0"/>
    <x v="0"/>
  </r>
  <r>
    <x v="0"/>
    <x v="0"/>
    <x v="2"/>
    <s v="Acessar os posts do submenu LATEST TECH UPDATE"/>
    <s v="clicar na imagem OU no titulo do post 'Como automatizar a consulta de antecedentes criminais?'"/>
    <s v="ser direcionado para o post com a url https://blog.idwall.co/como-automatizar-a-consulta-de-antecedentes-criminais/"/>
    <x v="0"/>
    <m/>
    <x v="0"/>
    <x v="0"/>
  </r>
  <r>
    <x v="0"/>
    <x v="1"/>
    <x v="0"/>
    <s v="Acessar o primeiro post do submenu CONTEÚDOS MAIS LIDOS"/>
    <s v="no post indicado com o número um, clicar na imagem OU no titulo do post 'Quais são os tipos de corrupção no Brasil?'"/>
    <s v="ser direcionado para o post com a url https://blog.idwall.co/corrupcao-tipos-no-brasil/"/>
    <x v="1"/>
    <m/>
    <x v="0"/>
    <x v="0"/>
  </r>
  <r>
    <x v="0"/>
    <x v="2"/>
    <x v="1"/>
    <s v="Acessar o segundo post do submenu CONTEÚDOS MAIS LIDOS"/>
    <s v="no post indicado com o número dois, clicar na imagem OU no titulo do post 'Conheça agora os 6 melhores cursos de compliance'"/>
    <s v="ser direcionado para o post com a url https://blog.idwall.co/curso-de-compliance-6-melhores/"/>
    <x v="2"/>
    <m/>
    <x v="0"/>
    <x v="0"/>
  </r>
  <r>
    <x v="0"/>
    <x v="0"/>
    <x v="2"/>
    <s v="Acessar o terceiro post do submenu CONTEÚDOS MAIS LIDOS"/>
    <s v="no post indicado com o número três, clicar na imagem OU no titulo do post 'O que é uma Pessoa Politicamente Exposta (PEP) e os riscos para o seu negócio"/>
    <s v="ser direcionado para o post com a url https://blog.idwall.co/o-que-e-uma-pessoa-politicamente-exposta/"/>
    <x v="3"/>
    <m/>
    <x v="0"/>
    <x v="0"/>
  </r>
  <r>
    <x v="0"/>
    <x v="1"/>
    <x v="0"/>
    <s v="Acessar o quarto post do submenu CONTEÚDOS MAIS LIDOS"/>
    <s v="no post indicado com o número quartro, clicar na imagem OU no titulo do post 'Empresas onshore e offshore: entenda as principais diferenças"/>
    <s v="ser direcionado para o post com a url https://blog.idwall.co/onshore-e-offshore-entenda-as-diferencas/"/>
    <x v="4"/>
    <m/>
    <x v="0"/>
    <x v="0"/>
  </r>
  <r>
    <x v="0"/>
    <x v="2"/>
    <x v="1"/>
    <s v="Acessar o quinto post do submenu CONTEÚDOS MAIS LIDOS"/>
    <s v="no post indicado com o número cinco, clicar na imagem OU no titulo do post 'Conheça as três etapas da lavagem de dinheiro'"/>
    <s v="ser direcionado para o post com a url https://blog.idwall.co/etapas-da-lavagem-de-dinheiro/"/>
    <x v="0"/>
    <m/>
    <x v="0"/>
    <x v="0"/>
  </r>
  <r>
    <x v="0"/>
    <x v="0"/>
    <x v="2"/>
    <s v="Acessar os posts do submenu PUBLICAÇÕES RECENTES"/>
    <s v="clicar na imagem OU no titulo do post 'idwall lança site exclusivo sobre background check'"/>
    <s v="ser direcionado para o post com a url https://blog.idwall.co/site-exclusivo-sobre-background-check/"/>
    <x v="1"/>
    <m/>
    <x v="0"/>
    <x v="0"/>
  </r>
  <r>
    <x v="0"/>
    <x v="1"/>
    <x v="0"/>
    <s v="Acessar os posts do submenu PUBLICAÇÕES RECENTES"/>
    <s v="clicar na imagem OU no titulo do post 'Os melhores prêmios de inovação para inscrever sua empresa em 2020'"/>
    <s v="ser direcionado para o post com a url https://blog.idwall.co/premios-de-inovacao-2020/"/>
    <x v="2"/>
    <m/>
    <x v="0"/>
    <x v="0"/>
  </r>
  <r>
    <x v="0"/>
    <x v="2"/>
    <x v="1"/>
    <s v="Acessar os posts do submenu PUBLICAÇÕES RECENTES"/>
    <s v="clicar na imagem OU no titulo do post 'BACEN quer implementar sistema instantâneo de pagamentos até 2020'"/>
    <s v="ser direcionado para o post com a url https://blog.idwall.co/bacen-quer-implementar-sistema-instantaneo-de-pagamentos/"/>
    <x v="3"/>
    <m/>
    <x v="0"/>
    <x v="0"/>
  </r>
  <r>
    <x v="0"/>
    <x v="0"/>
    <x v="2"/>
    <s v="Acessar os posts do submenu PUBLICAÇÕES RECENTES"/>
    <s v="clicar na imagem OU no titulo do post 'O que é acurácia? Entenda o conceito e sua importância'"/>
    <s v="ser direcionado para o post com a url https://blog.idwall.co/o-que-e-acuracia/"/>
    <x v="4"/>
    <m/>
    <x v="0"/>
    <x v="0"/>
  </r>
  <r>
    <x v="0"/>
    <x v="1"/>
    <x v="0"/>
    <s v="Acessar a segunda página de posts via page number button"/>
    <s v="clicar no botão 2, abaixo dos últimos posts no submenu LATEST TECH UPDATE"/>
    <s v="ser direcionado para a url https://blog.idwall.co/page/2/"/>
    <x v="0"/>
    <m/>
    <x v="0"/>
    <x v="0"/>
  </r>
  <r>
    <x v="0"/>
    <x v="2"/>
    <x v="1"/>
    <s v="Acessar a terceira página de posts via page number button"/>
    <s v="clicar no botão 3, abaixo dos últimos posts no submenu LATEST TECH UPDATE"/>
    <s v="ser direcionado para a url https://blog.idwall.co/page/3/"/>
    <x v="1"/>
    <m/>
    <x v="0"/>
    <x v="0"/>
  </r>
  <r>
    <x v="0"/>
    <x v="0"/>
    <x v="2"/>
    <s v="Acessar a última página de posts via page number button"/>
    <s v="clicar no botão 30, abaixo dos últimos posts no submenu LATEST TECH UPDATE"/>
    <s v="ser direcionado para a url https://blog.idwall.co/page/30/"/>
    <x v="2"/>
    <m/>
    <x v="0"/>
    <x v="0"/>
  </r>
  <r>
    <x v="0"/>
    <x v="1"/>
    <x v="0"/>
    <s v="Acessar a página seguinte de posts via next page button"/>
    <s v="clicar no botão next &gt;, abaixo dos últimos posts no submenu LATEST TECH UPDATE"/>
    <s v="ser direcionado para a url https://blog.idwall.co/page/2/"/>
    <x v="3"/>
    <m/>
    <x v="0"/>
    <x v="0"/>
  </r>
  <r>
    <x v="0"/>
    <x v="2"/>
    <x v="1"/>
    <s v="Acessar o menu PODCAST via footer menu"/>
    <s v="No footer menu, clicar no hyperlink podcast"/>
    <s v="ser direcionado para a url https://blog.idwall.co/idtalks/"/>
    <x v="4"/>
    <m/>
    <x v="0"/>
    <x v="0"/>
  </r>
  <r>
    <x v="1"/>
    <x v="0"/>
    <x v="2"/>
    <s v="Acessar o menu IDWALL  NEWS via footer menu"/>
    <s v="No footer menu, clicar no hyperlink idwall news"/>
    <s v="ser direcionado para a url https://blog.idwall.co/category/idwall-news/"/>
    <x v="0"/>
    <m/>
    <x v="0"/>
    <x v="0"/>
  </r>
  <r>
    <x v="2"/>
    <x v="1"/>
    <x v="0"/>
    <s v="Acessar o menu ANTI-FRAUDE via footer menu"/>
    <s v="No footer menu, clicar no hyperlink Anti-fraude"/>
    <s v="ser direcionado para a url https://blog.idwall.co/category/anti-fraude/"/>
    <x v="1"/>
    <m/>
    <x v="0"/>
    <x v="0"/>
  </r>
  <r>
    <x v="3"/>
    <x v="2"/>
    <x v="1"/>
    <s v="Acessar o menu FINTECH via footer menu"/>
    <s v="No footer menu, clicar no hyperlink Fintech"/>
    <s v="ser direcionado para a url https://blog.idwall.co/category/fintech/"/>
    <x v="2"/>
    <m/>
    <x v="0"/>
    <x v="0"/>
  </r>
  <r>
    <x v="4"/>
    <x v="0"/>
    <x v="2"/>
    <s v="Acessar o menu BACKGROUND CHECKING via footer menu"/>
    <s v="No footer menu, clicar no hyperlink Background Checking"/>
    <s v="ser direcionado para a url https://blog.idwall.co/category/background-checking/"/>
    <x v="3"/>
    <m/>
    <x v="0"/>
    <x v="0"/>
  </r>
  <r>
    <x v="0"/>
    <x v="1"/>
    <x v="0"/>
    <s v="Acessar o menu DUE DILIGENCE via footer menu"/>
    <s v="No footer menu, clicar no hyperlink Due Diligence"/>
    <s v="ser direcionado para a url https://blog.idwall.co/category/due-diligence/"/>
    <x v="4"/>
    <m/>
    <x v="0"/>
    <x v="0"/>
  </r>
  <r>
    <x v="1"/>
    <x v="2"/>
    <x v="1"/>
    <s v="Acessar o menu STARTUP via footer menu"/>
    <s v="No footer menu, clicar no hyperlink Startup"/>
    <s v="ser direcionado para a url https://blog.idwall.co/category/startup/"/>
    <x v="0"/>
    <m/>
    <x v="0"/>
    <x v="0"/>
  </r>
  <r>
    <x v="2"/>
    <x v="0"/>
    <x v="2"/>
    <s v="Acessar o menu OUTROS via footer menu"/>
    <s v="No footer menu, clicar no hyperlink Outros"/>
    <s v="ser direcionado para a url https://blog.idwall.co/category/outros/"/>
    <x v="1"/>
    <m/>
    <x v="0"/>
    <x v="0"/>
  </r>
  <r>
    <x v="3"/>
    <x v="1"/>
    <x v="0"/>
    <s v="Acessar a home page pelo link idwall no footer menu"/>
    <s v="No footer menu, clicar no hyperlink idwall em azul"/>
    <s v="ser direcionado para a url https://blog.idwall.co/"/>
    <x v="2"/>
    <m/>
    <x v="0"/>
    <x v="0"/>
  </r>
  <r>
    <x v="4"/>
    <x v="2"/>
    <x v="1"/>
    <s v="Acessar a home page pelo logo idblog no header menu"/>
    <s v="No header menu, clicar no logo idblog"/>
    <s v="ser direcionado para a url https://blog.idwall.co/"/>
    <x v="3"/>
    <m/>
    <x v="0"/>
    <x v="0"/>
  </r>
  <r>
    <x v="0"/>
    <x v="0"/>
    <x v="2"/>
    <s v="Acessar a home page pelo logo idblog no toggle menu"/>
    <s v="Clicar no icone do toggle menu, e em seguida clicar no logo idblog"/>
    <s v="ser direcionado para a url https://blog.idwall.co/"/>
    <x v="4"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9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46">
  <location ref="A3:B5" firstHeaderRow="1" firstDataRow="1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/>
    <pivotField axis="axisRow" dataField="1" showAll="0">
      <items count="9">
        <item x="0"/>
        <item m="1" x="6"/>
        <item m="1" x="4"/>
        <item m="1" x="3"/>
        <item m="1" x="5"/>
        <item m="1" x="7"/>
        <item h="1" m="1" x="2"/>
        <item h="1"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">
    <i>
      <x/>
    </i>
    <i t="grand">
      <x/>
    </i>
  </rowItems>
  <colItems count="1">
    <i/>
  </colItems>
  <dataFields count="1">
    <dataField name="Contagem de STATUS DOS TESTES" fld="9" subtotal="count" baseField="0" baseItem="0"/>
  </dataFields>
  <formats count="1">
    <format dxfId="5">
      <pivotArea outline="0" collapsedLevelsAreSubtotals="1" fieldPosition="0"/>
    </format>
  </formats>
  <chartFormats count="1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9" dataPosition="0" applyNumberFormats="0" applyBorderFormats="0" applyFontFormats="0" applyPatternFormats="0" applyAlignmentFormats="0" applyWidthHeightFormats="1" dataCaption="Valores" updatedVersion="5" minRefreshableVersion="3" rowGrandTotals="0" itemPrintTitles="1" createdVersion="5" indent="0" outline="1" outlineData="1" multipleFieldFilters="0" chartFormat="79">
  <location ref="A3:D10" firstHeaderRow="1" firstDataRow="2" firstDataCol="1"/>
  <pivotFields count="12">
    <pivotField dataField="1" showAll="0"/>
    <pivotField showAll="0"/>
    <pivotField showAll="0"/>
    <pivotField showAll="0" defaultSubtotal="0"/>
    <pivotField showAll="0" defaultSubtotal="0"/>
    <pivotField showAll="0" defaultSubtotal="0"/>
    <pivotField axis="axisRow" showAll="0" sortType="ascending">
      <items count="13">
        <item x="5"/>
        <item x="3"/>
        <item x="2"/>
        <item x="4"/>
        <item x="0"/>
        <item x="1"/>
        <item h="1" m="1" x="9"/>
        <item h="1" m="1" x="10"/>
        <item h="1" m="1" x="7"/>
        <item h="1" m="1" x="8"/>
        <item h="1" m="1" x="11"/>
        <item h="1" m="1" x="6"/>
        <item t="default"/>
      </items>
    </pivotField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9"/>
  </colFields>
  <colItems count="3">
    <i>
      <x/>
    </i>
    <i>
      <x v="7"/>
    </i>
    <i t="grand">
      <x/>
    </i>
  </colItems>
  <dataFields count="1">
    <dataField name="Contagem de ETAPA DO TESTE" fld="0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9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D8" firstHeaderRow="1" firstDataRow="2" firstDataCol="1"/>
  <pivotFields count="12">
    <pivotField showAll="0"/>
    <pivotField axis="axisRow" showAll="0">
      <items count="5">
        <item x="1"/>
        <item x="0"/>
        <item x="2"/>
        <item h="1" m="1" x="3"/>
        <item t="default"/>
      </items>
    </pivotField>
    <pivotField showAll="0"/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9"/>
  </colFields>
  <colItems count="3">
    <i>
      <x/>
    </i>
    <i>
      <x v="7"/>
    </i>
    <i t="grand">
      <x/>
    </i>
  </colItems>
  <dataFields count="1">
    <dataField name="Contagem de CRITICIDADE" fld="6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9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D10" firstHeaderRow="1" firstDataRow="2" firstDataCol="1"/>
  <pivotFields count="12">
    <pivotField axis="axisRow" showAll="0">
      <items count="12">
        <item m="1" x="5"/>
        <item m="1" x="9"/>
        <item m="1" x="8"/>
        <item m="1" x="10"/>
        <item m="1" x="7"/>
        <item h="1" m="1" x="6"/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 t="grand">
      <x/>
    </i>
  </rowItems>
  <colFields count="1">
    <field x="9"/>
  </colFields>
  <colItems count="3">
    <i>
      <x/>
    </i>
    <i>
      <x v="7"/>
    </i>
    <i t="grand">
      <x/>
    </i>
  </colItems>
  <dataFields count="1">
    <dataField name="Contagem de CRITICIDADE" fld="6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9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D8" firstHeaderRow="1" firstDataRow="2" firstDataCol="1"/>
  <pivotFields count="12">
    <pivotField showAll="0"/>
    <pivotField showAll="0"/>
    <pivotField axis="axisRow" showAll="0">
      <items count="5">
        <item x="0"/>
        <item x="2"/>
        <item x="1"/>
        <item m="1" x="3"/>
        <item t="default"/>
      </items>
    </pivotField>
    <pivotField showAll="0" defaultSubtotal="0"/>
    <pivotField showAll="0" defaultSubtotal="0"/>
    <pivotField showAll="0" defaultSubtotal="0"/>
    <pivotField dataField="1" showAll="0"/>
    <pivotField showAll="0" defaultSubtotal="0"/>
    <pivotField showAll="0"/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9"/>
  </colFields>
  <colItems count="3">
    <i>
      <x/>
    </i>
    <i>
      <x v="7"/>
    </i>
    <i t="grand">
      <x/>
    </i>
  </colItems>
  <dataFields count="1">
    <dataField name="Contagem de CRITICIDADE" fld="6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9" dataPosition="0" applyNumberFormats="0" applyBorderFormats="0" applyFontFormats="0" applyPatternFormats="0" applyAlignmentFormats="0" applyWidthHeightFormats="1" dataCaption="Valores" updatedVersion="5" minRefreshableVersion="3" rowGrandTotals="0" itemPrintTitles="1" createdVersion="5" indent="0" outline="1" outlineData="1" multipleFieldFilters="0" chartFormat="50">
  <location ref="A3:B4" firstHeaderRow="1" firstDataRow="2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 defaultSubtotal="0"/>
    <pivotField axis="axisRow" showAll="0">
      <items count="7">
        <item m="1" x="3"/>
        <item m="1" x="5"/>
        <item m="1" x="2"/>
        <item m="1" x="4"/>
        <item h="1" m="1" x="1"/>
        <item h="1" x="0"/>
        <item t="default"/>
      </items>
    </pivotField>
    <pivotField axis="axisCol" showAll="0">
      <items count="9">
        <item x="0"/>
        <item m="1" x="6"/>
        <item m="1" x="4"/>
        <item m="1" x="3"/>
        <item m="1" x="5"/>
        <item m="1" x="7"/>
        <item m="1" x="2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colFields count="1">
    <field x="9"/>
  </colFields>
  <colItems count="1">
    <i t="grand">
      <x/>
    </i>
  </colItems>
  <dataFields count="1">
    <dataField name="Contagem de CRITICIDADE" fld="6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blog.idwall.co/category/mercado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J42"/>
  <sheetViews>
    <sheetView showGridLines="0" tabSelected="1" workbookViewId="0">
      <selection activeCell="AH25" sqref="AH25"/>
    </sheetView>
  </sheetViews>
  <sheetFormatPr defaultColWidth="0" defaultRowHeight="15" zeroHeight="1" x14ac:dyDescent="0.25"/>
  <cols>
    <col min="1" max="31" width="3.42578125" style="1" customWidth="1"/>
    <col min="32" max="36" width="3.42578125" customWidth="1"/>
    <col min="37" max="16384" width="3.42578125" hidden="1"/>
  </cols>
  <sheetData>
    <row r="1" spans="1:35" x14ac:dyDescent="0.25"/>
    <row r="2" spans="1:35" ht="16.5" customHeight="1" x14ac:dyDescent="0.25">
      <c r="A2" s="27" t="s">
        <v>312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</row>
    <row r="3" spans="1:35" ht="16.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</row>
    <row r="4" spans="1:35" ht="16.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</row>
    <row r="5" spans="1:35" ht="15" customHeight="1" x14ac:dyDescent="0.25">
      <c r="A5"/>
      <c r="B5"/>
      <c r="C5" s="29" t="s">
        <v>313</v>
      </c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3"/>
    </row>
    <row r="6" spans="1:35" x14ac:dyDescent="0.25">
      <c r="A6"/>
      <c r="B6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3"/>
    </row>
    <row r="7" spans="1:35" x14ac:dyDescent="0.25">
      <c r="A7"/>
      <c r="B7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3"/>
    </row>
    <row r="8" spans="1:35" x14ac:dyDescent="0.25">
      <c r="A8"/>
      <c r="B8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3"/>
    </row>
    <row r="9" spans="1:35" x14ac:dyDescent="0.25">
      <c r="A9"/>
      <c r="B9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3"/>
    </row>
    <row r="10" spans="1:35" x14ac:dyDescent="0.25">
      <c r="A10"/>
      <c r="B10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3"/>
    </row>
    <row r="11" spans="1:35" x14ac:dyDescent="0.25">
      <c r="A11"/>
      <c r="B1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3"/>
    </row>
    <row r="12" spans="1:35" x14ac:dyDescent="0.25">
      <c r="A12"/>
      <c r="B12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3"/>
    </row>
    <row r="13" spans="1:35" x14ac:dyDescent="0.25">
      <c r="A13"/>
      <c r="B1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3"/>
    </row>
    <row r="14" spans="1:35" x14ac:dyDescent="0.25">
      <c r="A14"/>
      <c r="B1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3"/>
    </row>
    <row r="15" spans="1:35" x14ac:dyDescent="0.25">
      <c r="A15"/>
      <c r="B1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3"/>
    </row>
    <row r="16" spans="1:35" x14ac:dyDescent="0.25">
      <c r="A16"/>
      <c r="B16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3"/>
    </row>
    <row r="17" spans="1:35" x14ac:dyDescent="0.25">
      <c r="A17"/>
      <c r="B17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3"/>
    </row>
    <row r="18" spans="1:35" x14ac:dyDescent="0.25">
      <c r="A18"/>
      <c r="B18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3"/>
    </row>
    <row r="19" spans="1:35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5"/>
    </row>
    <row r="20" spans="1:35" x14ac:dyDescent="0.25">
      <c r="AF20" s="1"/>
      <c r="AG20" s="1"/>
      <c r="AH20" s="1"/>
    </row>
    <row r="21" spans="1:35" hidden="1" x14ac:dyDescent="0.25"/>
    <row r="22" spans="1:35" hidden="1" x14ac:dyDescent="0.25"/>
    <row r="23" spans="1:35" x14ac:dyDescent="0.25"/>
    <row r="24" spans="1:35" x14ac:dyDescent="0.25"/>
    <row r="25" spans="1:35" x14ac:dyDescent="0.25"/>
    <row r="26" spans="1:35" x14ac:dyDescent="0.25"/>
    <row r="27" spans="1:35" x14ac:dyDescent="0.25"/>
    <row r="28" spans="1:35" x14ac:dyDescent="0.25"/>
    <row r="29" spans="1:35" x14ac:dyDescent="0.25"/>
    <row r="30" spans="1:35" x14ac:dyDescent="0.25"/>
    <row r="31" spans="1:35" x14ac:dyDescent="0.25"/>
    <row r="32" spans="1:35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</sheetData>
  <mergeCells count="2">
    <mergeCell ref="A2:AI4"/>
    <mergeCell ref="C5:AH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BA1012"/>
  <sheetViews>
    <sheetView showGridLines="0" zoomScaleNormal="100" workbookViewId="0">
      <pane ySplit="6" topLeftCell="A7" activePane="bottomLeft" state="frozen"/>
      <selection pane="bottomLeft" activeCell="A88" sqref="A88:XFD1012"/>
    </sheetView>
  </sheetViews>
  <sheetFormatPr defaultColWidth="0" defaultRowHeight="32.25" customHeight="1" zeroHeight="1" x14ac:dyDescent="0.25"/>
  <cols>
    <col min="1" max="1" width="4.140625" customWidth="1"/>
    <col min="2" max="2" width="17.140625" customWidth="1"/>
    <col min="3" max="3" width="70" bestFit="1" customWidth="1"/>
    <col min="4" max="4" width="128.42578125" bestFit="1" customWidth="1"/>
    <col min="5" max="5" width="104" bestFit="1" customWidth="1"/>
    <col min="6" max="6" width="84.42578125" bestFit="1" customWidth="1"/>
    <col min="7" max="7" width="21.85546875" customWidth="1"/>
    <col min="8" max="9" width="4.140625" style="4" customWidth="1"/>
    <col min="10" max="49" width="0" hidden="1" customWidth="1"/>
    <col min="54" max="16384" width="4.140625" hidden="1"/>
  </cols>
  <sheetData>
    <row r="1" spans="1:9" ht="15" x14ac:dyDescent="0.25">
      <c r="A1" s="1"/>
      <c r="B1" s="1"/>
      <c r="C1" s="1"/>
      <c r="D1" s="1"/>
      <c r="E1" s="1"/>
      <c r="F1" s="1"/>
      <c r="G1" s="1"/>
      <c r="H1" s="25"/>
    </row>
    <row r="2" spans="1:9" ht="16.5" customHeight="1" x14ac:dyDescent="0.25">
      <c r="A2" s="1"/>
      <c r="B2" s="30" t="s">
        <v>31</v>
      </c>
      <c r="C2" s="31"/>
      <c r="D2" s="31"/>
      <c r="E2" s="31"/>
      <c r="F2" s="31"/>
      <c r="G2" s="31"/>
      <c r="H2" s="32"/>
    </row>
    <row r="3" spans="1:9" ht="16.5" customHeight="1" x14ac:dyDescent="0.25">
      <c r="A3" s="1"/>
      <c r="B3" s="33"/>
      <c r="C3" s="27"/>
      <c r="D3" s="27"/>
      <c r="E3" s="27"/>
      <c r="F3" s="27"/>
      <c r="G3" s="27"/>
      <c r="H3" s="34"/>
    </row>
    <row r="4" spans="1:9" ht="16.5" customHeight="1" x14ac:dyDescent="0.25">
      <c r="A4" s="2"/>
      <c r="B4" s="35"/>
      <c r="C4" s="36"/>
      <c r="D4" s="36"/>
      <c r="E4" s="36"/>
      <c r="F4" s="36"/>
      <c r="G4" s="36"/>
      <c r="H4" s="37"/>
    </row>
    <row r="5" spans="1:9" ht="16.5" customHeight="1" x14ac:dyDescent="0.25">
      <c r="H5" s="26"/>
    </row>
    <row r="6" spans="1:9" s="6" customFormat="1" ht="15" x14ac:dyDescent="0.25">
      <c r="B6" s="7" t="s">
        <v>301</v>
      </c>
      <c r="C6" s="7" t="s">
        <v>296</v>
      </c>
      <c r="D6" s="7" t="s">
        <v>297</v>
      </c>
      <c r="E6" s="7" t="s">
        <v>298</v>
      </c>
      <c r="F6" s="7" t="s">
        <v>299</v>
      </c>
      <c r="G6" s="8" t="s">
        <v>7</v>
      </c>
      <c r="H6" s="26"/>
      <c r="I6" s="4"/>
    </row>
    <row r="7" spans="1:9" s="6" customFormat="1" ht="32.25" customHeight="1" x14ac:dyDescent="0.25">
      <c r="B7" s="24" t="s">
        <v>32</v>
      </c>
      <c r="C7" s="9" t="s">
        <v>35</v>
      </c>
      <c r="D7" s="9" t="s">
        <v>257</v>
      </c>
      <c r="E7" s="9" t="s">
        <v>41</v>
      </c>
      <c r="F7" s="9" t="s">
        <v>302</v>
      </c>
      <c r="G7" s="10" t="s">
        <v>9</v>
      </c>
      <c r="H7" s="26"/>
      <c r="I7" s="4"/>
    </row>
    <row r="8" spans="1:9" s="6" customFormat="1" ht="32.25" customHeight="1" x14ac:dyDescent="0.25">
      <c r="B8" s="24" t="s">
        <v>34</v>
      </c>
      <c r="C8" s="9" t="s">
        <v>37</v>
      </c>
      <c r="D8" s="9" t="s">
        <v>258</v>
      </c>
      <c r="E8" s="9" t="s">
        <v>38</v>
      </c>
      <c r="F8" s="9" t="s">
        <v>33</v>
      </c>
      <c r="G8" s="10" t="s">
        <v>9</v>
      </c>
      <c r="H8" s="26"/>
      <c r="I8" s="4"/>
    </row>
    <row r="9" spans="1:9" s="6" customFormat="1" ht="32.25" customHeight="1" x14ac:dyDescent="0.25">
      <c r="B9" s="24" t="s">
        <v>36</v>
      </c>
      <c r="C9" s="9" t="s">
        <v>40</v>
      </c>
      <c r="D9" s="9" t="s">
        <v>259</v>
      </c>
      <c r="E9" s="9" t="s">
        <v>42</v>
      </c>
      <c r="F9" s="9" t="s">
        <v>33</v>
      </c>
      <c r="G9" s="10" t="s">
        <v>9</v>
      </c>
      <c r="H9" s="26"/>
      <c r="I9" s="4"/>
    </row>
    <row r="10" spans="1:9" s="6" customFormat="1" ht="32.25" customHeight="1" x14ac:dyDescent="0.25">
      <c r="B10" s="24" t="s">
        <v>39</v>
      </c>
      <c r="C10" s="9" t="s">
        <v>44</v>
      </c>
      <c r="D10" s="9" t="s">
        <v>260</v>
      </c>
      <c r="E10" s="9" t="s">
        <v>45</v>
      </c>
      <c r="F10" s="9" t="s">
        <v>33</v>
      </c>
      <c r="G10" s="10" t="s">
        <v>9</v>
      </c>
      <c r="H10" s="26"/>
      <c r="I10" s="4"/>
    </row>
    <row r="11" spans="1:9" s="6" customFormat="1" ht="32.25" customHeight="1" x14ac:dyDescent="0.25">
      <c r="B11" s="24" t="s">
        <v>43</v>
      </c>
      <c r="C11" s="9" t="s">
        <v>47</v>
      </c>
      <c r="D11" s="9" t="s">
        <v>261</v>
      </c>
      <c r="E11" s="9" t="s">
        <v>48</v>
      </c>
      <c r="F11" s="9" t="s">
        <v>33</v>
      </c>
      <c r="G11" s="10" t="s">
        <v>9</v>
      </c>
      <c r="H11" s="26"/>
      <c r="I11" s="4"/>
    </row>
    <row r="12" spans="1:9" s="6" customFormat="1" ht="32.25" customHeight="1" x14ac:dyDescent="0.25">
      <c r="B12" s="24" t="s">
        <v>46</v>
      </c>
      <c r="C12" s="9" t="s">
        <v>50</v>
      </c>
      <c r="D12" s="9" t="s">
        <v>262</v>
      </c>
      <c r="E12" s="9" t="s">
        <v>51</v>
      </c>
      <c r="F12" s="9" t="s">
        <v>33</v>
      </c>
      <c r="G12" s="10" t="s">
        <v>9</v>
      </c>
      <c r="H12" s="26"/>
      <c r="I12" s="4"/>
    </row>
    <row r="13" spans="1:9" s="6" customFormat="1" ht="32.25" customHeight="1" x14ac:dyDescent="0.25">
      <c r="B13" s="24" t="s">
        <v>49</v>
      </c>
      <c r="C13" s="9" t="s">
        <v>53</v>
      </c>
      <c r="D13" s="9" t="s">
        <v>263</v>
      </c>
      <c r="E13" s="9" t="s">
        <v>54</v>
      </c>
      <c r="F13" s="9" t="s">
        <v>33</v>
      </c>
      <c r="G13" s="10" t="s">
        <v>9</v>
      </c>
      <c r="H13" s="26"/>
      <c r="I13" s="4"/>
    </row>
    <row r="14" spans="1:9" ht="32.25" customHeight="1" x14ac:dyDescent="0.25">
      <c r="B14" s="24" t="s">
        <v>52</v>
      </c>
      <c r="C14" s="9" t="s">
        <v>56</v>
      </c>
      <c r="D14" s="9" t="s">
        <v>264</v>
      </c>
      <c r="E14" s="9" t="s">
        <v>57</v>
      </c>
      <c r="F14" s="9" t="s">
        <v>33</v>
      </c>
      <c r="G14" s="10" t="s">
        <v>9</v>
      </c>
      <c r="H14" s="26"/>
    </row>
    <row r="15" spans="1:9" ht="32.25" customHeight="1" x14ac:dyDescent="0.25">
      <c r="B15" s="24" t="s">
        <v>55</v>
      </c>
      <c r="C15" s="9" t="s">
        <v>59</v>
      </c>
      <c r="D15" s="9" t="s">
        <v>60</v>
      </c>
      <c r="E15" s="9" t="s">
        <v>41</v>
      </c>
      <c r="F15" s="9" t="s">
        <v>33</v>
      </c>
      <c r="G15" s="10" t="s">
        <v>9</v>
      </c>
      <c r="H15" s="26"/>
    </row>
    <row r="16" spans="1:9" ht="32.25" customHeight="1" x14ac:dyDescent="0.25">
      <c r="B16" s="24" t="s">
        <v>58</v>
      </c>
      <c r="C16" s="9" t="s">
        <v>62</v>
      </c>
      <c r="D16" s="9" t="s">
        <v>63</v>
      </c>
      <c r="E16" s="9" t="s">
        <v>38</v>
      </c>
      <c r="F16" s="9" t="s">
        <v>33</v>
      </c>
      <c r="G16" s="10" t="s">
        <v>9</v>
      </c>
      <c r="H16" s="26"/>
    </row>
    <row r="17" spans="2:8" ht="32.25" customHeight="1" x14ac:dyDescent="0.25">
      <c r="B17" s="24" t="s">
        <v>61</v>
      </c>
      <c r="C17" s="9" t="s">
        <v>65</v>
      </c>
      <c r="D17" s="9" t="s">
        <v>66</v>
      </c>
      <c r="E17" s="9" t="s">
        <v>42</v>
      </c>
      <c r="F17" s="9" t="s">
        <v>33</v>
      </c>
      <c r="G17" s="10" t="s">
        <v>9</v>
      </c>
      <c r="H17" s="26"/>
    </row>
    <row r="18" spans="2:8" ht="32.25" customHeight="1" x14ac:dyDescent="0.25">
      <c r="B18" s="24" t="s">
        <v>64</v>
      </c>
      <c r="C18" s="9" t="s">
        <v>68</v>
      </c>
      <c r="D18" s="9" t="s">
        <v>69</v>
      </c>
      <c r="E18" s="9" t="s">
        <v>45</v>
      </c>
      <c r="F18" s="9" t="s">
        <v>33</v>
      </c>
      <c r="G18" s="10" t="s">
        <v>9</v>
      </c>
      <c r="H18" s="26"/>
    </row>
    <row r="19" spans="2:8" ht="32.25" customHeight="1" x14ac:dyDescent="0.25">
      <c r="B19" s="24" t="s">
        <v>67</v>
      </c>
      <c r="C19" s="9" t="s">
        <v>71</v>
      </c>
      <c r="D19" s="9" t="s">
        <v>72</v>
      </c>
      <c r="E19" s="9" t="s">
        <v>48</v>
      </c>
      <c r="F19" s="9" t="s">
        <v>33</v>
      </c>
      <c r="G19" s="10" t="s">
        <v>9</v>
      </c>
      <c r="H19" s="26"/>
    </row>
    <row r="20" spans="2:8" ht="32.25" customHeight="1" x14ac:dyDescent="0.25">
      <c r="B20" s="24" t="s">
        <v>70</v>
      </c>
      <c r="C20" s="9" t="s">
        <v>74</v>
      </c>
      <c r="D20" s="9" t="s">
        <v>75</v>
      </c>
      <c r="E20" s="9" t="s">
        <v>51</v>
      </c>
      <c r="F20" s="9" t="s">
        <v>33</v>
      </c>
      <c r="G20" s="10" t="s">
        <v>9</v>
      </c>
      <c r="H20" s="26"/>
    </row>
    <row r="21" spans="2:8" ht="32.25" customHeight="1" x14ac:dyDescent="0.25">
      <c r="B21" s="24" t="s">
        <v>73</v>
      </c>
      <c r="C21" s="9" t="s">
        <v>77</v>
      </c>
      <c r="D21" s="9" t="s">
        <v>78</v>
      </c>
      <c r="E21" s="9" t="s">
        <v>54</v>
      </c>
      <c r="F21" s="9" t="s">
        <v>33</v>
      </c>
      <c r="G21" s="10" t="s">
        <v>9</v>
      </c>
      <c r="H21" s="26"/>
    </row>
    <row r="22" spans="2:8" ht="32.25" customHeight="1" x14ac:dyDescent="0.25">
      <c r="B22" s="24" t="s">
        <v>76</v>
      </c>
      <c r="C22" s="9" t="s">
        <v>80</v>
      </c>
      <c r="D22" s="9" t="s">
        <v>81</v>
      </c>
      <c r="E22" s="9" t="s">
        <v>57</v>
      </c>
      <c r="F22" s="9" t="s">
        <v>33</v>
      </c>
      <c r="G22" s="10" t="s">
        <v>9</v>
      </c>
      <c r="H22" s="26"/>
    </row>
    <row r="23" spans="2:8" ht="32.25" customHeight="1" x14ac:dyDescent="0.25">
      <c r="B23" s="24" t="s">
        <v>79</v>
      </c>
      <c r="C23" s="9" t="s">
        <v>83</v>
      </c>
      <c r="D23" s="9" t="s">
        <v>84</v>
      </c>
      <c r="E23" s="9" t="s">
        <v>85</v>
      </c>
      <c r="F23" s="9" t="s">
        <v>303</v>
      </c>
      <c r="G23" s="10" t="s">
        <v>9</v>
      </c>
      <c r="H23" s="26"/>
    </row>
    <row r="24" spans="2:8" ht="32.25" customHeight="1" x14ac:dyDescent="0.25">
      <c r="B24" s="24" t="s">
        <v>82</v>
      </c>
      <c r="C24" s="9" t="s">
        <v>93</v>
      </c>
      <c r="D24" s="9" t="s">
        <v>94</v>
      </c>
      <c r="E24" s="9" t="s">
        <v>95</v>
      </c>
      <c r="F24" s="9" t="s">
        <v>33</v>
      </c>
      <c r="G24" s="10" t="s">
        <v>9</v>
      </c>
      <c r="H24" s="26"/>
    </row>
    <row r="25" spans="2:8" ht="32.25" customHeight="1" x14ac:dyDescent="0.25">
      <c r="B25" s="24" t="s">
        <v>86</v>
      </c>
      <c r="C25" s="9" t="s">
        <v>90</v>
      </c>
      <c r="D25" s="9" t="s">
        <v>107</v>
      </c>
      <c r="E25" s="9" t="s">
        <v>87</v>
      </c>
      <c r="F25" s="9" t="s">
        <v>33</v>
      </c>
      <c r="G25" s="10" t="s">
        <v>9</v>
      </c>
      <c r="H25" s="26"/>
    </row>
    <row r="26" spans="2:8" ht="32.25" customHeight="1" x14ac:dyDescent="0.25">
      <c r="B26" s="24" t="s">
        <v>88</v>
      </c>
      <c r="C26" s="9" t="s">
        <v>96</v>
      </c>
      <c r="D26" s="9" t="s">
        <v>99</v>
      </c>
      <c r="E26" s="9" t="s">
        <v>38</v>
      </c>
      <c r="F26" s="9" t="s">
        <v>33</v>
      </c>
      <c r="G26" s="10" t="s">
        <v>9</v>
      </c>
      <c r="H26" s="26"/>
    </row>
    <row r="27" spans="2:8" ht="32.25" customHeight="1" x14ac:dyDescent="0.25">
      <c r="B27" s="24" t="s">
        <v>89</v>
      </c>
      <c r="C27" s="9" t="s">
        <v>97</v>
      </c>
      <c r="D27" s="9" t="s">
        <v>98</v>
      </c>
      <c r="E27" s="9" t="s">
        <v>100</v>
      </c>
      <c r="F27" s="9" t="s">
        <v>302</v>
      </c>
      <c r="G27" s="10" t="s">
        <v>9</v>
      </c>
      <c r="H27" s="26"/>
    </row>
    <row r="28" spans="2:8" ht="32.25" customHeight="1" x14ac:dyDescent="0.25">
      <c r="B28" s="24" t="s">
        <v>92</v>
      </c>
      <c r="C28" s="9" t="s">
        <v>102</v>
      </c>
      <c r="D28" s="9" t="s">
        <v>108</v>
      </c>
      <c r="E28" s="9" t="s">
        <v>103</v>
      </c>
      <c r="F28" s="9" t="s">
        <v>33</v>
      </c>
      <c r="G28" s="10" t="s">
        <v>9</v>
      </c>
      <c r="H28" s="26"/>
    </row>
    <row r="29" spans="2:8" ht="32.25" customHeight="1" x14ac:dyDescent="0.25">
      <c r="B29" s="24" t="s">
        <v>101</v>
      </c>
      <c r="C29" s="9" t="s">
        <v>105</v>
      </c>
      <c r="D29" s="9" t="s">
        <v>106</v>
      </c>
      <c r="E29" s="9" t="s">
        <v>57</v>
      </c>
      <c r="F29" s="9" t="s">
        <v>33</v>
      </c>
      <c r="G29" s="10" t="s">
        <v>9</v>
      </c>
      <c r="H29" s="26"/>
    </row>
    <row r="30" spans="2:8" ht="32.25" customHeight="1" x14ac:dyDescent="0.25">
      <c r="B30" s="24" t="s">
        <v>104</v>
      </c>
      <c r="C30" s="9" t="s">
        <v>110</v>
      </c>
      <c r="D30" s="9" t="s">
        <v>111</v>
      </c>
      <c r="E30" s="9" t="s">
        <v>112</v>
      </c>
      <c r="F30" s="9" t="s">
        <v>33</v>
      </c>
      <c r="G30" s="10" t="s">
        <v>9</v>
      </c>
      <c r="H30" s="26"/>
    </row>
    <row r="31" spans="2:8" ht="32.25" customHeight="1" x14ac:dyDescent="0.25">
      <c r="B31" s="24" t="s">
        <v>109</v>
      </c>
      <c r="C31" s="9" t="s">
        <v>114</v>
      </c>
      <c r="D31" s="9" t="s">
        <v>115</v>
      </c>
      <c r="E31" s="9" t="s">
        <v>38</v>
      </c>
      <c r="F31" s="9" t="s">
        <v>33</v>
      </c>
      <c r="G31" s="10" t="s">
        <v>9</v>
      </c>
      <c r="H31" s="26"/>
    </row>
    <row r="32" spans="2:8" ht="32.25" customHeight="1" x14ac:dyDescent="0.25">
      <c r="B32" s="24" t="s">
        <v>113</v>
      </c>
      <c r="C32" s="9" t="s">
        <v>117</v>
      </c>
      <c r="D32" s="9" t="s">
        <v>118</v>
      </c>
      <c r="E32" s="9" t="s">
        <v>119</v>
      </c>
      <c r="F32" s="9" t="s">
        <v>33</v>
      </c>
      <c r="G32" s="10" t="s">
        <v>9</v>
      </c>
      <c r="H32" s="26"/>
    </row>
    <row r="33" spans="2:8" ht="32.25" customHeight="1" x14ac:dyDescent="0.25">
      <c r="B33" s="24" t="s">
        <v>116</v>
      </c>
      <c r="C33" s="9" t="s">
        <v>126</v>
      </c>
      <c r="D33" s="9" t="s">
        <v>121</v>
      </c>
      <c r="E33" s="9" t="s">
        <v>100</v>
      </c>
      <c r="F33" s="9" t="s">
        <v>33</v>
      </c>
      <c r="G33" s="10" t="s">
        <v>9</v>
      </c>
      <c r="H33" s="26"/>
    </row>
    <row r="34" spans="2:8" ht="32.25" customHeight="1" x14ac:dyDescent="0.25">
      <c r="B34" s="24" t="s">
        <v>120</v>
      </c>
      <c r="C34" s="9" t="s">
        <v>122</v>
      </c>
      <c r="D34" s="9" t="s">
        <v>123</v>
      </c>
      <c r="E34" s="9" t="s">
        <v>124</v>
      </c>
      <c r="F34" s="9" t="s">
        <v>33</v>
      </c>
      <c r="G34" s="10" t="s">
        <v>9</v>
      </c>
      <c r="H34" s="26"/>
    </row>
    <row r="35" spans="2:8" ht="32.25" customHeight="1" x14ac:dyDescent="0.25">
      <c r="B35" s="24" t="s">
        <v>91</v>
      </c>
      <c r="C35" s="9" t="s">
        <v>127</v>
      </c>
      <c r="D35" s="9" t="s">
        <v>128</v>
      </c>
      <c r="E35" s="9" t="s">
        <v>57</v>
      </c>
      <c r="F35" s="9" t="s">
        <v>33</v>
      </c>
      <c r="G35" s="10" t="s">
        <v>9</v>
      </c>
      <c r="H35" s="26"/>
    </row>
    <row r="36" spans="2:8" ht="32.25" customHeight="1" x14ac:dyDescent="0.25">
      <c r="B36" s="24" t="s">
        <v>125</v>
      </c>
      <c r="C36" s="9" t="s">
        <v>130</v>
      </c>
      <c r="D36" s="9" t="s">
        <v>131</v>
      </c>
      <c r="E36" s="9" t="s">
        <v>132</v>
      </c>
      <c r="F36" s="9" t="s">
        <v>33</v>
      </c>
      <c r="G36" s="10" t="s">
        <v>9</v>
      </c>
      <c r="H36" s="26"/>
    </row>
    <row r="37" spans="2:8" ht="32.25" customHeight="1" x14ac:dyDescent="0.25">
      <c r="B37" s="24" t="s">
        <v>129</v>
      </c>
      <c r="C37" s="9" t="s">
        <v>134</v>
      </c>
      <c r="D37" s="9" t="s">
        <v>135</v>
      </c>
      <c r="E37" s="9" t="s">
        <v>57</v>
      </c>
      <c r="F37" s="9" t="s">
        <v>33</v>
      </c>
      <c r="G37" s="10" t="s">
        <v>9</v>
      </c>
      <c r="H37" s="26"/>
    </row>
    <row r="38" spans="2:8" ht="32.25" customHeight="1" x14ac:dyDescent="0.25">
      <c r="B38" s="24" t="s">
        <v>133</v>
      </c>
      <c r="C38" s="9" t="s">
        <v>137</v>
      </c>
      <c r="D38" s="9" t="s">
        <v>138</v>
      </c>
      <c r="E38" s="9" t="s">
        <v>42</v>
      </c>
      <c r="F38" s="9" t="s">
        <v>33</v>
      </c>
      <c r="G38" s="10" t="s">
        <v>9</v>
      </c>
      <c r="H38" s="26"/>
    </row>
    <row r="39" spans="2:8" ht="32.25" customHeight="1" x14ac:dyDescent="0.25">
      <c r="B39" s="24" t="s">
        <v>136</v>
      </c>
      <c r="C39" s="9" t="s">
        <v>140</v>
      </c>
      <c r="D39" s="9" t="s">
        <v>141</v>
      </c>
      <c r="E39" s="9" t="s">
        <v>142</v>
      </c>
      <c r="F39" s="9" t="s">
        <v>302</v>
      </c>
      <c r="G39" s="10" t="s">
        <v>9</v>
      </c>
      <c r="H39" s="26"/>
    </row>
    <row r="40" spans="2:8" ht="32.25" customHeight="1" x14ac:dyDescent="0.25">
      <c r="B40" s="24" t="s">
        <v>139</v>
      </c>
      <c r="C40" s="9" t="s">
        <v>144</v>
      </c>
      <c r="D40" s="9" t="s">
        <v>145</v>
      </c>
      <c r="E40" s="9" t="s">
        <v>48</v>
      </c>
      <c r="F40" s="9" t="s">
        <v>33</v>
      </c>
      <c r="G40" s="10" t="s">
        <v>9</v>
      </c>
      <c r="H40" s="26"/>
    </row>
    <row r="41" spans="2:8" ht="32.25" customHeight="1" x14ac:dyDescent="0.25">
      <c r="B41" s="24" t="s">
        <v>143</v>
      </c>
      <c r="C41" s="9" t="s">
        <v>147</v>
      </c>
      <c r="D41" s="9" t="s">
        <v>148</v>
      </c>
      <c r="E41" s="9" t="s">
        <v>51</v>
      </c>
      <c r="F41" s="9" t="s">
        <v>33</v>
      </c>
      <c r="G41" s="10" t="s">
        <v>9</v>
      </c>
      <c r="H41" s="26"/>
    </row>
    <row r="42" spans="2:8" ht="32.25" customHeight="1" x14ac:dyDescent="0.25">
      <c r="B42" s="24" t="s">
        <v>146</v>
      </c>
      <c r="C42" s="9" t="s">
        <v>150</v>
      </c>
      <c r="D42" s="9" t="s">
        <v>151</v>
      </c>
      <c r="E42" s="9" t="s">
        <v>152</v>
      </c>
      <c r="F42" s="9" t="s">
        <v>33</v>
      </c>
      <c r="G42" s="10" t="s">
        <v>9</v>
      </c>
      <c r="H42" s="26"/>
    </row>
    <row r="43" spans="2:8" ht="32.25" customHeight="1" x14ac:dyDescent="0.25">
      <c r="B43" s="24" t="s">
        <v>149</v>
      </c>
      <c r="C43" s="9" t="s">
        <v>154</v>
      </c>
      <c r="D43" s="9" t="s">
        <v>155</v>
      </c>
      <c r="E43" s="9" t="s">
        <v>45</v>
      </c>
      <c r="F43" s="9" t="s">
        <v>33</v>
      </c>
      <c r="G43" s="10" t="s">
        <v>9</v>
      </c>
      <c r="H43" s="26"/>
    </row>
    <row r="44" spans="2:8" ht="32.25" customHeight="1" x14ac:dyDescent="0.25">
      <c r="B44" s="24" t="s">
        <v>153</v>
      </c>
      <c r="C44" s="9" t="s">
        <v>157</v>
      </c>
      <c r="D44" s="9" t="s">
        <v>159</v>
      </c>
      <c r="E44" s="9" t="s">
        <v>158</v>
      </c>
      <c r="F44" s="9" t="s">
        <v>302</v>
      </c>
      <c r="G44" s="10" t="s">
        <v>9</v>
      </c>
      <c r="H44" s="26"/>
    </row>
    <row r="45" spans="2:8" ht="32.25" customHeight="1" x14ac:dyDescent="0.25">
      <c r="B45" s="24" t="s">
        <v>156</v>
      </c>
      <c r="C45" s="9" t="s">
        <v>161</v>
      </c>
      <c r="D45" s="9" t="s">
        <v>162</v>
      </c>
      <c r="E45" s="9" t="s">
        <v>163</v>
      </c>
      <c r="F45" s="9" t="s">
        <v>33</v>
      </c>
      <c r="G45" s="10" t="s">
        <v>9</v>
      </c>
      <c r="H45" s="26"/>
    </row>
    <row r="46" spans="2:8" ht="32.25" customHeight="1" x14ac:dyDescent="0.25">
      <c r="B46" s="24" t="s">
        <v>160</v>
      </c>
      <c r="C46" s="9" t="s">
        <v>165</v>
      </c>
      <c r="D46" s="9" t="s">
        <v>166</v>
      </c>
      <c r="E46" s="9" t="s">
        <v>38</v>
      </c>
      <c r="F46" s="9" t="s">
        <v>33</v>
      </c>
      <c r="G46" s="10" t="s">
        <v>9</v>
      </c>
      <c r="H46" s="26"/>
    </row>
    <row r="47" spans="2:8" ht="32.25" customHeight="1" x14ac:dyDescent="0.25">
      <c r="B47" s="24" t="s">
        <v>164</v>
      </c>
      <c r="C47" s="9" t="s">
        <v>168</v>
      </c>
      <c r="D47" s="9" t="s">
        <v>172</v>
      </c>
      <c r="E47" s="9" t="s">
        <v>100</v>
      </c>
      <c r="F47" s="9" t="s">
        <v>33</v>
      </c>
      <c r="G47" s="10" t="s">
        <v>9</v>
      </c>
      <c r="H47" s="26"/>
    </row>
    <row r="48" spans="2:8" ht="32.25" customHeight="1" x14ac:dyDescent="0.25">
      <c r="B48" s="24" t="s">
        <v>167</v>
      </c>
      <c r="C48" s="9" t="s">
        <v>170</v>
      </c>
      <c r="D48" s="9" t="s">
        <v>171</v>
      </c>
      <c r="E48" s="9" t="s">
        <v>57</v>
      </c>
      <c r="F48" s="9" t="s">
        <v>33</v>
      </c>
      <c r="G48" s="10" t="s">
        <v>9</v>
      </c>
      <c r="H48" s="26"/>
    </row>
    <row r="49" spans="2:8" ht="32.25" customHeight="1" x14ac:dyDescent="0.25">
      <c r="B49" s="24" t="s">
        <v>169</v>
      </c>
      <c r="C49" s="9" t="s">
        <v>174</v>
      </c>
      <c r="D49" s="9" t="s">
        <v>175</v>
      </c>
      <c r="E49" s="9" t="s">
        <v>176</v>
      </c>
      <c r="F49" s="9" t="s">
        <v>302</v>
      </c>
      <c r="G49" s="10" t="s">
        <v>9</v>
      </c>
      <c r="H49" s="26"/>
    </row>
    <row r="50" spans="2:8" ht="32.25" customHeight="1" x14ac:dyDescent="0.25">
      <c r="B50" s="24" t="s">
        <v>173</v>
      </c>
      <c r="C50" s="9" t="s">
        <v>178</v>
      </c>
      <c r="D50" s="9" t="s">
        <v>179</v>
      </c>
      <c r="E50" s="9" t="s">
        <v>54</v>
      </c>
      <c r="F50" s="9" t="s">
        <v>33</v>
      </c>
      <c r="G50" s="10" t="s">
        <v>9</v>
      </c>
      <c r="H50" s="26"/>
    </row>
    <row r="51" spans="2:8" s="4" customFormat="1" ht="32.25" customHeight="1" x14ac:dyDescent="0.25">
      <c r="B51" s="24" t="s">
        <v>177</v>
      </c>
      <c r="C51" s="9" t="s">
        <v>181</v>
      </c>
      <c r="D51" s="9" t="s">
        <v>182</v>
      </c>
      <c r="E51" s="9" t="s">
        <v>183</v>
      </c>
      <c r="F51" s="9" t="s">
        <v>304</v>
      </c>
      <c r="G51" s="10" t="s">
        <v>300</v>
      </c>
      <c r="H51" s="26"/>
    </row>
    <row r="52" spans="2:8" ht="32.25" customHeight="1" x14ac:dyDescent="0.25">
      <c r="B52" s="24" t="s">
        <v>180</v>
      </c>
      <c r="C52" s="9" t="s">
        <v>185</v>
      </c>
      <c r="D52" s="9" t="s">
        <v>186</v>
      </c>
      <c r="E52" s="9" t="s">
        <v>187</v>
      </c>
      <c r="F52" s="9" t="s">
        <v>33</v>
      </c>
      <c r="G52" s="10" t="s">
        <v>9</v>
      </c>
      <c r="H52" s="26"/>
    </row>
    <row r="53" spans="2:8" s="4" customFormat="1" ht="32.25" customHeight="1" x14ac:dyDescent="0.25">
      <c r="B53" s="24" t="s">
        <v>184</v>
      </c>
      <c r="C53" s="9" t="s">
        <v>189</v>
      </c>
      <c r="D53" s="9" t="s">
        <v>190</v>
      </c>
      <c r="E53" s="9" t="s">
        <v>191</v>
      </c>
      <c r="F53" s="9" t="s">
        <v>305</v>
      </c>
      <c r="G53" s="10" t="s">
        <v>300</v>
      </c>
      <c r="H53" s="26"/>
    </row>
    <row r="54" spans="2:8" ht="32.25" customHeight="1" x14ac:dyDescent="0.25">
      <c r="B54" s="24" t="s">
        <v>188</v>
      </c>
      <c r="C54" s="9" t="s">
        <v>185</v>
      </c>
      <c r="D54" s="9" t="s">
        <v>193</v>
      </c>
      <c r="E54" s="9" t="s">
        <v>194</v>
      </c>
      <c r="F54" s="9" t="s">
        <v>33</v>
      </c>
      <c r="G54" s="10" t="s">
        <v>9</v>
      </c>
      <c r="H54" s="26"/>
    </row>
    <row r="55" spans="2:8" s="4" customFormat="1" ht="32.25" customHeight="1" x14ac:dyDescent="0.25">
      <c r="B55" s="24" t="s">
        <v>192</v>
      </c>
      <c r="C55" s="9" t="s">
        <v>196</v>
      </c>
      <c r="D55" s="9" t="s">
        <v>197</v>
      </c>
      <c r="E55" s="9" t="s">
        <v>198</v>
      </c>
      <c r="F55" s="9" t="s">
        <v>305</v>
      </c>
      <c r="G55" s="10" t="s">
        <v>300</v>
      </c>
      <c r="H55" s="26"/>
    </row>
    <row r="56" spans="2:8" ht="32.25" customHeight="1" x14ac:dyDescent="0.25">
      <c r="B56" s="24" t="s">
        <v>195</v>
      </c>
      <c r="C56" s="9" t="s">
        <v>185</v>
      </c>
      <c r="D56" s="9" t="s">
        <v>202</v>
      </c>
      <c r="E56" s="9" t="s">
        <v>87</v>
      </c>
      <c r="F56" s="9" t="s">
        <v>33</v>
      </c>
      <c r="G56" s="10" t="s">
        <v>9</v>
      </c>
      <c r="H56" s="26"/>
    </row>
    <row r="57" spans="2:8" ht="32.25" customHeight="1" x14ac:dyDescent="0.25">
      <c r="B57" s="24" t="s">
        <v>199</v>
      </c>
      <c r="C57" s="9" t="s">
        <v>185</v>
      </c>
      <c r="D57" s="9" t="s">
        <v>203</v>
      </c>
      <c r="E57" s="9" t="s">
        <v>103</v>
      </c>
      <c r="F57" s="9" t="s">
        <v>33</v>
      </c>
      <c r="G57" s="10" t="s">
        <v>9</v>
      </c>
      <c r="H57" s="26"/>
    </row>
    <row r="58" spans="2:8" s="4" customFormat="1" ht="32.25" customHeight="1" x14ac:dyDescent="0.25">
      <c r="B58" s="24" t="s">
        <v>201</v>
      </c>
      <c r="C58" s="9" t="s">
        <v>207</v>
      </c>
      <c r="D58" s="9" t="s">
        <v>208</v>
      </c>
      <c r="E58" s="9" t="s">
        <v>209</v>
      </c>
      <c r="F58" s="9" t="s">
        <v>305</v>
      </c>
      <c r="G58" s="10" t="s">
        <v>300</v>
      </c>
      <c r="H58" s="26"/>
    </row>
    <row r="59" spans="2:8" ht="32.25" customHeight="1" x14ac:dyDescent="0.25">
      <c r="B59" s="24" t="s">
        <v>204</v>
      </c>
      <c r="C59" s="9" t="s">
        <v>185</v>
      </c>
      <c r="D59" s="9" t="s">
        <v>200</v>
      </c>
      <c r="E59" s="9" t="s">
        <v>112</v>
      </c>
      <c r="F59" s="9" t="s">
        <v>33</v>
      </c>
      <c r="G59" s="10" t="s">
        <v>9</v>
      </c>
      <c r="H59" s="26"/>
    </row>
    <row r="60" spans="2:8" ht="32.25" customHeight="1" x14ac:dyDescent="0.25">
      <c r="B60" s="24" t="s">
        <v>205</v>
      </c>
      <c r="C60" s="9" t="s">
        <v>185</v>
      </c>
      <c r="D60" s="9" t="s">
        <v>206</v>
      </c>
      <c r="E60" s="9" t="s">
        <v>119</v>
      </c>
      <c r="F60" s="9" t="s">
        <v>33</v>
      </c>
      <c r="G60" s="10" t="s">
        <v>9</v>
      </c>
      <c r="H60" s="26"/>
    </row>
    <row r="61" spans="2:8" ht="32.25" customHeight="1" x14ac:dyDescent="0.25">
      <c r="B61" s="24" t="s">
        <v>210</v>
      </c>
      <c r="C61" s="9" t="s">
        <v>185</v>
      </c>
      <c r="D61" s="9" t="s">
        <v>212</v>
      </c>
      <c r="E61" s="9" t="s">
        <v>124</v>
      </c>
      <c r="F61" s="9" t="s">
        <v>33</v>
      </c>
      <c r="G61" s="10" t="s">
        <v>9</v>
      </c>
      <c r="H61" s="26"/>
    </row>
    <row r="62" spans="2:8" ht="32.25" customHeight="1" x14ac:dyDescent="0.25">
      <c r="B62" s="24" t="s">
        <v>211</v>
      </c>
      <c r="C62" s="9" t="s">
        <v>185</v>
      </c>
      <c r="D62" s="9" t="s">
        <v>213</v>
      </c>
      <c r="E62" s="9" t="s">
        <v>132</v>
      </c>
      <c r="F62" s="9" t="s">
        <v>33</v>
      </c>
      <c r="G62" s="10" t="s">
        <v>9</v>
      </c>
      <c r="H62" s="26"/>
    </row>
    <row r="63" spans="2:8" ht="32.25" customHeight="1" x14ac:dyDescent="0.25">
      <c r="B63" s="24" t="s">
        <v>214</v>
      </c>
      <c r="C63" s="9" t="s">
        <v>215</v>
      </c>
      <c r="D63" s="9" t="s">
        <v>217</v>
      </c>
      <c r="E63" s="9" t="s">
        <v>218</v>
      </c>
      <c r="F63" s="9" t="s">
        <v>33</v>
      </c>
      <c r="G63" s="10" t="s">
        <v>9</v>
      </c>
      <c r="H63" s="26"/>
    </row>
    <row r="64" spans="2:8" ht="32.25" customHeight="1" x14ac:dyDescent="0.25">
      <c r="B64" s="24" t="s">
        <v>216</v>
      </c>
      <c r="C64" s="9" t="s">
        <v>220</v>
      </c>
      <c r="D64" s="9" t="s">
        <v>221</v>
      </c>
      <c r="E64" s="9" t="s">
        <v>222</v>
      </c>
      <c r="F64" s="9" t="s">
        <v>33</v>
      </c>
      <c r="G64" s="10" t="s">
        <v>9</v>
      </c>
      <c r="H64" s="26"/>
    </row>
    <row r="65" spans="2:8" ht="32.25" customHeight="1" x14ac:dyDescent="0.25">
      <c r="B65" s="24" t="s">
        <v>219</v>
      </c>
      <c r="C65" s="9" t="s">
        <v>224</v>
      </c>
      <c r="D65" s="9" t="s">
        <v>225</v>
      </c>
      <c r="E65" s="9" t="s">
        <v>226</v>
      </c>
      <c r="F65" s="9" t="s">
        <v>33</v>
      </c>
      <c r="G65" s="10" t="s">
        <v>9</v>
      </c>
      <c r="H65" s="26"/>
    </row>
    <row r="66" spans="2:8" ht="32.25" customHeight="1" x14ac:dyDescent="0.25">
      <c r="B66" s="24" t="s">
        <v>223</v>
      </c>
      <c r="C66" s="9" t="s">
        <v>228</v>
      </c>
      <c r="D66" s="9" t="s">
        <v>229</v>
      </c>
      <c r="E66" s="9" t="s">
        <v>230</v>
      </c>
      <c r="F66" s="9" t="s">
        <v>33</v>
      </c>
      <c r="G66" s="10" t="s">
        <v>9</v>
      </c>
      <c r="H66" s="26"/>
    </row>
    <row r="67" spans="2:8" ht="32.25" customHeight="1" x14ac:dyDescent="0.25">
      <c r="B67" s="24" t="s">
        <v>227</v>
      </c>
      <c r="C67" s="9" t="s">
        <v>232</v>
      </c>
      <c r="D67" s="9" t="s">
        <v>233</v>
      </c>
      <c r="E67" s="9" t="s">
        <v>234</v>
      </c>
      <c r="F67" s="9" t="s">
        <v>33</v>
      </c>
      <c r="G67" s="10" t="s">
        <v>9</v>
      </c>
      <c r="H67" s="26"/>
    </row>
    <row r="68" spans="2:8" ht="32.25" customHeight="1" x14ac:dyDescent="0.25">
      <c r="B68" s="24" t="s">
        <v>231</v>
      </c>
      <c r="C68" s="9" t="s">
        <v>236</v>
      </c>
      <c r="D68" s="9" t="s">
        <v>186</v>
      </c>
      <c r="E68" s="9" t="s">
        <v>187</v>
      </c>
      <c r="F68" s="9" t="s">
        <v>33</v>
      </c>
      <c r="G68" s="10" t="s">
        <v>9</v>
      </c>
      <c r="H68" s="26"/>
    </row>
    <row r="69" spans="2:8" ht="32.25" customHeight="1" x14ac:dyDescent="0.25">
      <c r="B69" s="24" t="s">
        <v>235</v>
      </c>
      <c r="C69" s="9" t="s">
        <v>236</v>
      </c>
      <c r="D69" s="9" t="s">
        <v>193</v>
      </c>
      <c r="E69" s="9" t="s">
        <v>194</v>
      </c>
      <c r="F69" s="9" t="s">
        <v>33</v>
      </c>
      <c r="G69" s="10" t="s">
        <v>9</v>
      </c>
      <c r="H69" s="26"/>
    </row>
    <row r="70" spans="2:8" ht="32.25" customHeight="1" x14ac:dyDescent="0.25">
      <c r="B70" s="24" t="s">
        <v>237</v>
      </c>
      <c r="C70" s="9" t="s">
        <v>236</v>
      </c>
      <c r="D70" s="9" t="s">
        <v>202</v>
      </c>
      <c r="E70" s="9" t="s">
        <v>87</v>
      </c>
      <c r="F70" s="9" t="s">
        <v>33</v>
      </c>
      <c r="G70" s="10" t="s">
        <v>9</v>
      </c>
      <c r="H70" s="26"/>
    </row>
    <row r="71" spans="2:8" ht="32.25" customHeight="1" x14ac:dyDescent="0.25">
      <c r="B71" s="24" t="s">
        <v>238</v>
      </c>
      <c r="C71" s="9" t="s">
        <v>236</v>
      </c>
      <c r="D71" s="9" t="s">
        <v>203</v>
      </c>
      <c r="E71" s="9" t="s">
        <v>103</v>
      </c>
      <c r="F71" s="9" t="s">
        <v>33</v>
      </c>
      <c r="G71" s="10" t="s">
        <v>9</v>
      </c>
      <c r="H71" s="26"/>
    </row>
    <row r="72" spans="2:8" ht="32.25" customHeight="1" x14ac:dyDescent="0.25">
      <c r="B72" s="24" t="s">
        <v>239</v>
      </c>
      <c r="C72" s="9" t="s">
        <v>252</v>
      </c>
      <c r="D72" s="9" t="s">
        <v>244</v>
      </c>
      <c r="E72" s="9" t="s">
        <v>241</v>
      </c>
      <c r="F72" s="9" t="s">
        <v>33</v>
      </c>
      <c r="G72" s="10" t="s">
        <v>9</v>
      </c>
      <c r="H72" s="26"/>
    </row>
    <row r="73" spans="2:8" ht="32.25" customHeight="1" x14ac:dyDescent="0.25">
      <c r="B73" s="24" t="s">
        <v>240</v>
      </c>
      <c r="C73" s="9" t="s">
        <v>251</v>
      </c>
      <c r="D73" s="9" t="s">
        <v>243</v>
      </c>
      <c r="E73" s="9" t="s">
        <v>245</v>
      </c>
      <c r="F73" s="9" t="s">
        <v>33</v>
      </c>
      <c r="G73" s="10" t="s">
        <v>9</v>
      </c>
      <c r="H73" s="26"/>
    </row>
    <row r="74" spans="2:8" ht="32.25" customHeight="1" x14ac:dyDescent="0.25">
      <c r="B74" s="24" t="s">
        <v>242</v>
      </c>
      <c r="C74" s="9" t="s">
        <v>250</v>
      </c>
      <c r="D74" s="9" t="s">
        <v>247</v>
      </c>
      <c r="E74" s="9" t="s">
        <v>248</v>
      </c>
      <c r="F74" s="9" t="s">
        <v>33</v>
      </c>
      <c r="G74" s="10" t="s">
        <v>9</v>
      </c>
      <c r="H74" s="26"/>
    </row>
    <row r="75" spans="2:8" ht="32.25" customHeight="1" x14ac:dyDescent="0.25">
      <c r="B75" s="24" t="s">
        <v>246</v>
      </c>
      <c r="C75" s="9" t="s">
        <v>249</v>
      </c>
      <c r="D75" s="9" t="s">
        <v>253</v>
      </c>
      <c r="E75" s="9" t="s">
        <v>241</v>
      </c>
      <c r="F75" s="9" t="s">
        <v>33</v>
      </c>
      <c r="G75" s="10" t="s">
        <v>9</v>
      </c>
      <c r="H75" s="26"/>
    </row>
    <row r="76" spans="2:8" ht="32.25" customHeight="1" x14ac:dyDescent="0.25">
      <c r="B76" s="24" t="s">
        <v>254</v>
      </c>
      <c r="C76" s="9" t="s">
        <v>256</v>
      </c>
      <c r="D76" s="9" t="s">
        <v>267</v>
      </c>
      <c r="E76" s="9" t="s">
        <v>41</v>
      </c>
      <c r="F76" s="9" t="s">
        <v>33</v>
      </c>
      <c r="G76" s="10" t="s">
        <v>9</v>
      </c>
      <c r="H76" s="26"/>
    </row>
    <row r="77" spans="2:8" ht="32.25" customHeight="1" x14ac:dyDescent="0.25">
      <c r="B77" s="24" t="s">
        <v>255</v>
      </c>
      <c r="C77" s="9" t="s">
        <v>266</v>
      </c>
      <c r="D77" s="9" t="s">
        <v>268</v>
      </c>
      <c r="E77" s="9" t="s">
        <v>38</v>
      </c>
      <c r="F77" s="9" t="s">
        <v>33</v>
      </c>
      <c r="G77" s="10" t="s">
        <v>9</v>
      </c>
      <c r="H77" s="26"/>
    </row>
    <row r="78" spans="2:8" ht="32.25" customHeight="1" x14ac:dyDescent="0.25">
      <c r="B78" s="24" t="s">
        <v>265</v>
      </c>
      <c r="C78" s="9" t="s">
        <v>270</v>
      </c>
      <c r="D78" s="9" t="s">
        <v>271</v>
      </c>
      <c r="E78" s="9" t="s">
        <v>42</v>
      </c>
      <c r="F78" s="9" t="s">
        <v>33</v>
      </c>
      <c r="G78" s="10" t="s">
        <v>9</v>
      </c>
      <c r="H78" s="26"/>
    </row>
    <row r="79" spans="2:8" ht="32.25" customHeight="1" x14ac:dyDescent="0.25">
      <c r="B79" s="24" t="s">
        <v>269</v>
      </c>
      <c r="C79" s="9" t="s">
        <v>273</v>
      </c>
      <c r="D79" s="9" t="s">
        <v>274</v>
      </c>
      <c r="E79" s="9" t="s">
        <v>45</v>
      </c>
      <c r="F79" s="9" t="s">
        <v>33</v>
      </c>
      <c r="G79" s="10" t="s">
        <v>9</v>
      </c>
      <c r="H79" s="26"/>
    </row>
    <row r="80" spans="2:8" ht="32.25" customHeight="1" x14ac:dyDescent="0.25">
      <c r="B80" s="24" t="s">
        <v>272</v>
      </c>
      <c r="C80" s="9" t="s">
        <v>278</v>
      </c>
      <c r="D80" s="9" t="s">
        <v>276</v>
      </c>
      <c r="E80" s="9" t="s">
        <v>48</v>
      </c>
      <c r="F80" s="9" t="s">
        <v>33</v>
      </c>
      <c r="G80" s="10" t="s">
        <v>9</v>
      </c>
      <c r="H80" s="26"/>
    </row>
    <row r="81" spans="2:8" ht="32.25" customHeight="1" x14ac:dyDescent="0.25">
      <c r="B81" s="24" t="s">
        <v>275</v>
      </c>
      <c r="C81" s="9" t="s">
        <v>279</v>
      </c>
      <c r="D81" s="9" t="s">
        <v>280</v>
      </c>
      <c r="E81" s="9" t="s">
        <v>51</v>
      </c>
      <c r="F81" s="9" t="s">
        <v>33</v>
      </c>
      <c r="G81" s="10" t="s">
        <v>9</v>
      </c>
      <c r="H81" s="26"/>
    </row>
    <row r="82" spans="2:8" ht="32.25" customHeight="1" x14ac:dyDescent="0.25">
      <c r="B82" s="24" t="s">
        <v>277</v>
      </c>
      <c r="C82" s="9" t="s">
        <v>282</v>
      </c>
      <c r="D82" s="9" t="s">
        <v>283</v>
      </c>
      <c r="E82" s="9" t="s">
        <v>54</v>
      </c>
      <c r="F82" s="9" t="s">
        <v>33</v>
      </c>
      <c r="G82" s="10" t="s">
        <v>9</v>
      </c>
      <c r="H82" s="26"/>
    </row>
    <row r="83" spans="2:8" ht="32.25" customHeight="1" x14ac:dyDescent="0.25">
      <c r="B83" s="24" t="s">
        <v>281</v>
      </c>
      <c r="C83" s="9" t="s">
        <v>285</v>
      </c>
      <c r="D83" s="9" t="s">
        <v>286</v>
      </c>
      <c r="E83" s="9" t="s">
        <v>57</v>
      </c>
      <c r="F83" s="9" t="s">
        <v>33</v>
      </c>
      <c r="G83" s="10" t="s">
        <v>9</v>
      </c>
      <c r="H83" s="26"/>
    </row>
    <row r="84" spans="2:8" ht="32.25" customHeight="1" x14ac:dyDescent="0.25">
      <c r="B84" s="24" t="s">
        <v>284</v>
      </c>
      <c r="C84" s="9" t="s">
        <v>306</v>
      </c>
      <c r="D84" s="9" t="s">
        <v>288</v>
      </c>
      <c r="E84" s="9" t="s">
        <v>307</v>
      </c>
      <c r="F84" s="9" t="s">
        <v>33</v>
      </c>
      <c r="G84" s="10" t="s">
        <v>9</v>
      </c>
      <c r="H84" s="26"/>
    </row>
    <row r="85" spans="2:8" ht="32.25" customHeight="1" x14ac:dyDescent="0.25">
      <c r="B85" s="24" t="s">
        <v>287</v>
      </c>
      <c r="C85" s="9" t="s">
        <v>291</v>
      </c>
      <c r="D85" s="9" t="s">
        <v>292</v>
      </c>
      <c r="E85" s="9" t="s">
        <v>289</v>
      </c>
      <c r="F85" s="9" t="s">
        <v>33</v>
      </c>
      <c r="G85" s="10" t="s">
        <v>9</v>
      </c>
      <c r="H85" s="26"/>
    </row>
    <row r="86" spans="2:8" ht="32.25" customHeight="1" x14ac:dyDescent="0.25">
      <c r="B86" s="24" t="s">
        <v>290</v>
      </c>
      <c r="C86" s="9" t="s">
        <v>293</v>
      </c>
      <c r="D86" s="9" t="s">
        <v>295</v>
      </c>
      <c r="E86" s="9" t="s">
        <v>289</v>
      </c>
      <c r="F86" s="9" t="s">
        <v>33</v>
      </c>
      <c r="G86" s="10" t="s">
        <v>9</v>
      </c>
      <c r="H86" s="26"/>
    </row>
    <row r="87" spans="2:8" ht="32.25" customHeight="1" x14ac:dyDescent="0.25">
      <c r="B87" s="24" t="s">
        <v>294</v>
      </c>
      <c r="C87" s="9" t="s">
        <v>308</v>
      </c>
      <c r="D87" s="9" t="s">
        <v>309</v>
      </c>
      <c r="E87" s="9" t="s">
        <v>310</v>
      </c>
      <c r="F87" s="9" t="s">
        <v>311</v>
      </c>
      <c r="G87" s="10" t="s">
        <v>9</v>
      </c>
      <c r="H87" s="26"/>
    </row>
    <row r="88" spans="2:8" ht="32.25" hidden="1" customHeight="1" x14ac:dyDescent="0.25"/>
    <row r="89" spans="2:8" ht="32.25" hidden="1" customHeight="1" x14ac:dyDescent="0.25"/>
    <row r="90" spans="2:8" ht="32.25" hidden="1" customHeight="1" x14ac:dyDescent="0.25"/>
    <row r="91" spans="2:8" ht="32.25" hidden="1" customHeight="1" x14ac:dyDescent="0.25"/>
    <row r="92" spans="2:8" ht="32.25" hidden="1" customHeight="1" x14ac:dyDescent="0.25"/>
    <row r="93" spans="2:8" ht="32.25" hidden="1" customHeight="1" x14ac:dyDescent="0.25"/>
    <row r="94" spans="2:8" ht="32.25" hidden="1" customHeight="1" x14ac:dyDescent="0.25"/>
    <row r="95" spans="2:8" ht="32.25" hidden="1" customHeight="1" x14ac:dyDescent="0.25"/>
    <row r="96" spans="2:8" ht="32.25" hidden="1" customHeight="1" x14ac:dyDescent="0.25"/>
    <row r="97" ht="32.25" hidden="1" customHeight="1" x14ac:dyDescent="0.25"/>
    <row r="98" ht="32.25" hidden="1" customHeight="1" x14ac:dyDescent="0.25"/>
    <row r="99" ht="32.25" hidden="1" customHeight="1" x14ac:dyDescent="0.25"/>
    <row r="100" ht="32.25" hidden="1" customHeight="1" x14ac:dyDescent="0.25"/>
    <row r="101" ht="32.25" hidden="1" customHeight="1" x14ac:dyDescent="0.25"/>
    <row r="102" ht="32.25" hidden="1" customHeight="1" x14ac:dyDescent="0.25"/>
    <row r="103" ht="32.25" hidden="1" customHeight="1" x14ac:dyDescent="0.25"/>
    <row r="104" ht="32.25" hidden="1" customHeight="1" x14ac:dyDescent="0.25"/>
    <row r="105" ht="32.25" hidden="1" customHeight="1" x14ac:dyDescent="0.25"/>
    <row r="106" ht="32.25" hidden="1" customHeight="1" x14ac:dyDescent="0.25"/>
    <row r="107" ht="32.25" hidden="1" customHeight="1" x14ac:dyDescent="0.25"/>
    <row r="108" ht="32.25" hidden="1" customHeight="1" x14ac:dyDescent="0.25"/>
    <row r="109" ht="32.25" hidden="1" customHeight="1" x14ac:dyDescent="0.25"/>
    <row r="110" ht="32.25" hidden="1" customHeight="1" x14ac:dyDescent="0.25"/>
    <row r="111" ht="32.25" hidden="1" customHeight="1" x14ac:dyDescent="0.25"/>
    <row r="112" ht="32.25" hidden="1" customHeight="1" x14ac:dyDescent="0.25"/>
    <row r="113" ht="32.25" hidden="1" customHeight="1" x14ac:dyDescent="0.25"/>
    <row r="114" ht="32.25" hidden="1" customHeight="1" x14ac:dyDescent="0.25"/>
    <row r="115" ht="32.25" hidden="1" customHeight="1" x14ac:dyDescent="0.25"/>
    <row r="116" ht="32.25" hidden="1" customHeight="1" x14ac:dyDescent="0.25"/>
    <row r="117" ht="32.25" hidden="1" customHeight="1" x14ac:dyDescent="0.25"/>
    <row r="118" ht="32.25" hidden="1" customHeight="1" x14ac:dyDescent="0.25"/>
    <row r="119" ht="32.25" hidden="1" customHeight="1" x14ac:dyDescent="0.25"/>
    <row r="120" ht="32.25" hidden="1" customHeight="1" x14ac:dyDescent="0.25"/>
    <row r="121" ht="32.25" hidden="1" customHeight="1" x14ac:dyDescent="0.25"/>
    <row r="122" ht="32.25" hidden="1" customHeight="1" x14ac:dyDescent="0.25"/>
    <row r="123" ht="32.25" hidden="1" customHeight="1" x14ac:dyDescent="0.25"/>
    <row r="124" ht="32.25" hidden="1" customHeight="1" x14ac:dyDescent="0.25"/>
    <row r="125" ht="32.25" hidden="1" customHeight="1" x14ac:dyDescent="0.25"/>
    <row r="126" ht="32.25" hidden="1" customHeight="1" x14ac:dyDescent="0.25"/>
    <row r="127" ht="32.25" hidden="1" customHeight="1" x14ac:dyDescent="0.25"/>
    <row r="128" ht="32.25" hidden="1" customHeight="1" x14ac:dyDescent="0.25"/>
    <row r="129" ht="32.25" hidden="1" customHeight="1" x14ac:dyDescent="0.25"/>
    <row r="130" ht="32.25" hidden="1" customHeight="1" x14ac:dyDescent="0.25"/>
    <row r="131" ht="32.25" hidden="1" customHeight="1" x14ac:dyDescent="0.25"/>
    <row r="132" ht="32.25" hidden="1" customHeight="1" x14ac:dyDescent="0.25"/>
    <row r="133" ht="32.25" hidden="1" customHeight="1" x14ac:dyDescent="0.25"/>
    <row r="134" ht="32.25" hidden="1" customHeight="1" x14ac:dyDescent="0.25"/>
    <row r="135" ht="32.25" hidden="1" customHeight="1" x14ac:dyDescent="0.25"/>
    <row r="136" ht="32.25" hidden="1" customHeight="1" x14ac:dyDescent="0.25"/>
    <row r="137" ht="32.25" hidden="1" customHeight="1" x14ac:dyDescent="0.25"/>
    <row r="138" ht="32.25" hidden="1" customHeight="1" x14ac:dyDescent="0.25"/>
    <row r="139" ht="32.25" hidden="1" customHeight="1" x14ac:dyDescent="0.25"/>
    <row r="140" ht="32.25" hidden="1" customHeight="1" x14ac:dyDescent="0.25"/>
    <row r="141" ht="32.25" hidden="1" customHeight="1" x14ac:dyDescent="0.25"/>
    <row r="142" ht="32.25" hidden="1" customHeight="1" x14ac:dyDescent="0.25"/>
    <row r="143" ht="32.25" hidden="1" customHeight="1" x14ac:dyDescent="0.25"/>
    <row r="144" ht="32.25" hidden="1" customHeight="1" x14ac:dyDescent="0.25"/>
    <row r="145" ht="32.25" hidden="1" customHeight="1" x14ac:dyDescent="0.25"/>
    <row r="146" ht="32.25" hidden="1" customHeight="1" x14ac:dyDescent="0.25"/>
    <row r="147" ht="32.25" hidden="1" customHeight="1" x14ac:dyDescent="0.25"/>
    <row r="148" ht="32.25" hidden="1" customHeight="1" x14ac:dyDescent="0.25"/>
    <row r="149" ht="32.25" hidden="1" customHeight="1" x14ac:dyDescent="0.25"/>
    <row r="150" ht="32.25" hidden="1" customHeight="1" x14ac:dyDescent="0.25"/>
    <row r="151" ht="32.25" hidden="1" customHeight="1" x14ac:dyDescent="0.25"/>
    <row r="152" ht="32.25" hidden="1" customHeight="1" x14ac:dyDescent="0.25"/>
    <row r="153" ht="32.25" hidden="1" customHeight="1" x14ac:dyDescent="0.25"/>
    <row r="154" ht="32.25" hidden="1" customHeight="1" x14ac:dyDescent="0.25"/>
    <row r="155" ht="32.25" hidden="1" customHeight="1" x14ac:dyDescent="0.25"/>
    <row r="156" ht="32.25" hidden="1" customHeight="1" x14ac:dyDescent="0.25"/>
    <row r="157" ht="32.25" hidden="1" customHeight="1" x14ac:dyDescent="0.25"/>
    <row r="158" ht="32.25" hidden="1" customHeight="1" x14ac:dyDescent="0.25"/>
    <row r="159" ht="32.25" hidden="1" customHeight="1" x14ac:dyDescent="0.25"/>
    <row r="160" ht="32.25" hidden="1" customHeight="1" x14ac:dyDescent="0.25"/>
    <row r="161" ht="32.25" hidden="1" customHeight="1" x14ac:dyDescent="0.25"/>
    <row r="162" ht="32.25" hidden="1" customHeight="1" x14ac:dyDescent="0.25"/>
    <row r="163" ht="32.25" hidden="1" customHeight="1" x14ac:dyDescent="0.25"/>
    <row r="164" ht="32.25" hidden="1" customHeight="1" x14ac:dyDescent="0.25"/>
    <row r="165" ht="32.25" hidden="1" customHeight="1" x14ac:dyDescent="0.25"/>
    <row r="166" ht="32.25" hidden="1" customHeight="1" x14ac:dyDescent="0.25"/>
    <row r="167" ht="32.25" hidden="1" customHeight="1" x14ac:dyDescent="0.25"/>
    <row r="168" ht="32.25" hidden="1" customHeight="1" x14ac:dyDescent="0.25"/>
    <row r="169" ht="32.25" hidden="1" customHeight="1" x14ac:dyDescent="0.25"/>
    <row r="170" ht="32.25" hidden="1" customHeight="1" x14ac:dyDescent="0.25"/>
    <row r="171" ht="32.25" hidden="1" customHeight="1" x14ac:dyDescent="0.25"/>
    <row r="172" ht="32.25" hidden="1" customHeight="1" x14ac:dyDescent="0.25"/>
    <row r="173" ht="32.25" hidden="1" customHeight="1" x14ac:dyDescent="0.25"/>
    <row r="174" ht="32.25" hidden="1" customHeight="1" x14ac:dyDescent="0.25"/>
    <row r="175" ht="32.25" hidden="1" customHeight="1" x14ac:dyDescent="0.25"/>
    <row r="176" ht="32.25" hidden="1" customHeight="1" x14ac:dyDescent="0.25"/>
    <row r="177" ht="32.25" hidden="1" customHeight="1" x14ac:dyDescent="0.25"/>
    <row r="178" ht="32.25" hidden="1" customHeight="1" x14ac:dyDescent="0.25"/>
    <row r="179" ht="32.25" hidden="1" customHeight="1" x14ac:dyDescent="0.25"/>
    <row r="180" ht="32.25" hidden="1" customHeight="1" x14ac:dyDescent="0.25"/>
    <row r="181" ht="32.25" hidden="1" customHeight="1" x14ac:dyDescent="0.25"/>
    <row r="182" ht="32.25" hidden="1" customHeight="1" x14ac:dyDescent="0.25"/>
    <row r="183" ht="32.25" hidden="1" customHeight="1" x14ac:dyDescent="0.25"/>
    <row r="184" ht="32.25" hidden="1" customHeight="1" x14ac:dyDescent="0.25"/>
    <row r="185" ht="32.25" hidden="1" customHeight="1" x14ac:dyDescent="0.25"/>
    <row r="186" ht="32.25" hidden="1" customHeight="1" x14ac:dyDescent="0.25"/>
    <row r="187" ht="32.25" hidden="1" customHeight="1" x14ac:dyDescent="0.25"/>
    <row r="188" ht="32.25" hidden="1" customHeight="1" x14ac:dyDescent="0.25"/>
    <row r="189" ht="32.25" hidden="1" customHeight="1" x14ac:dyDescent="0.25"/>
    <row r="190" ht="32.25" hidden="1" customHeight="1" x14ac:dyDescent="0.25"/>
    <row r="191" ht="32.25" hidden="1" customHeight="1" x14ac:dyDescent="0.25"/>
    <row r="192" ht="32.25" hidden="1" customHeight="1" x14ac:dyDescent="0.25"/>
    <row r="193" ht="32.25" hidden="1" customHeight="1" x14ac:dyDescent="0.25"/>
    <row r="194" ht="32.25" hidden="1" customHeight="1" x14ac:dyDescent="0.25"/>
    <row r="195" ht="32.25" hidden="1" customHeight="1" x14ac:dyDescent="0.25"/>
    <row r="196" ht="32.25" hidden="1" customHeight="1" x14ac:dyDescent="0.25"/>
    <row r="197" ht="32.25" hidden="1" customHeight="1" x14ac:dyDescent="0.25"/>
    <row r="198" ht="32.25" hidden="1" customHeight="1" x14ac:dyDescent="0.25"/>
    <row r="199" ht="32.25" hidden="1" customHeight="1" x14ac:dyDescent="0.25"/>
    <row r="200" ht="32.25" hidden="1" customHeight="1" x14ac:dyDescent="0.25"/>
    <row r="201" ht="32.25" hidden="1" customHeight="1" x14ac:dyDescent="0.25"/>
    <row r="202" ht="32.25" hidden="1" customHeight="1" x14ac:dyDescent="0.25"/>
    <row r="203" ht="32.25" hidden="1" customHeight="1" x14ac:dyDescent="0.25"/>
    <row r="204" ht="32.25" hidden="1" customHeight="1" x14ac:dyDescent="0.25"/>
    <row r="205" ht="32.25" hidden="1" customHeight="1" x14ac:dyDescent="0.25"/>
    <row r="206" ht="32.25" hidden="1" customHeight="1" x14ac:dyDescent="0.25"/>
    <row r="207" ht="32.25" hidden="1" customHeight="1" x14ac:dyDescent="0.25"/>
    <row r="208" ht="32.25" hidden="1" customHeight="1" x14ac:dyDescent="0.25"/>
    <row r="209" ht="32.25" hidden="1" customHeight="1" x14ac:dyDescent="0.25"/>
    <row r="210" ht="32.25" hidden="1" customHeight="1" x14ac:dyDescent="0.25"/>
    <row r="211" ht="32.25" hidden="1" customHeight="1" x14ac:dyDescent="0.25"/>
    <row r="212" ht="32.25" hidden="1" customHeight="1" x14ac:dyDescent="0.25"/>
    <row r="213" ht="32.25" hidden="1" customHeight="1" x14ac:dyDescent="0.25"/>
    <row r="214" ht="32.25" hidden="1" customHeight="1" x14ac:dyDescent="0.25"/>
    <row r="215" ht="32.25" hidden="1" customHeight="1" x14ac:dyDescent="0.25"/>
    <row r="216" ht="32.25" hidden="1" customHeight="1" x14ac:dyDescent="0.25"/>
    <row r="217" ht="32.25" hidden="1" customHeight="1" x14ac:dyDescent="0.25"/>
    <row r="218" ht="32.25" hidden="1" customHeight="1" x14ac:dyDescent="0.25"/>
    <row r="219" ht="32.25" hidden="1" customHeight="1" x14ac:dyDescent="0.25"/>
    <row r="220" ht="32.25" hidden="1" customHeight="1" x14ac:dyDescent="0.25"/>
    <row r="221" ht="32.25" hidden="1" customHeight="1" x14ac:dyDescent="0.25"/>
    <row r="222" ht="32.25" hidden="1" customHeight="1" x14ac:dyDescent="0.25"/>
    <row r="223" ht="32.25" hidden="1" customHeight="1" x14ac:dyDescent="0.25"/>
    <row r="224" ht="32.25" hidden="1" customHeight="1" x14ac:dyDescent="0.25"/>
    <row r="225" ht="32.25" hidden="1" customHeight="1" x14ac:dyDescent="0.25"/>
    <row r="226" ht="32.25" hidden="1" customHeight="1" x14ac:dyDescent="0.25"/>
    <row r="227" ht="32.25" hidden="1" customHeight="1" x14ac:dyDescent="0.25"/>
    <row r="228" ht="32.25" hidden="1" customHeight="1" x14ac:dyDescent="0.25"/>
    <row r="229" ht="32.25" hidden="1" customHeight="1" x14ac:dyDescent="0.25"/>
    <row r="230" ht="32.25" hidden="1" customHeight="1" x14ac:dyDescent="0.25"/>
    <row r="231" ht="32.25" hidden="1" customHeight="1" x14ac:dyDescent="0.25"/>
    <row r="232" ht="32.25" hidden="1" customHeight="1" x14ac:dyDescent="0.25"/>
    <row r="233" ht="32.25" hidden="1" customHeight="1" x14ac:dyDescent="0.25"/>
    <row r="234" ht="32.25" hidden="1" customHeight="1" x14ac:dyDescent="0.25"/>
    <row r="235" ht="32.25" hidden="1" customHeight="1" x14ac:dyDescent="0.25"/>
    <row r="236" ht="32.25" hidden="1" customHeight="1" x14ac:dyDescent="0.25"/>
    <row r="237" ht="32.25" hidden="1" customHeight="1" x14ac:dyDescent="0.25"/>
    <row r="238" ht="32.25" hidden="1" customHeight="1" x14ac:dyDescent="0.25"/>
    <row r="239" ht="32.25" hidden="1" customHeight="1" x14ac:dyDescent="0.25"/>
    <row r="240" ht="32.25" hidden="1" customHeight="1" x14ac:dyDescent="0.25"/>
    <row r="241" ht="32.25" hidden="1" customHeight="1" x14ac:dyDescent="0.25"/>
    <row r="242" ht="32.25" hidden="1" customHeight="1" x14ac:dyDescent="0.25"/>
    <row r="243" ht="32.25" hidden="1" customHeight="1" x14ac:dyDescent="0.25"/>
    <row r="244" ht="32.25" hidden="1" customHeight="1" x14ac:dyDescent="0.25"/>
    <row r="245" ht="32.25" hidden="1" customHeight="1" x14ac:dyDescent="0.25"/>
    <row r="246" ht="32.25" hidden="1" customHeight="1" x14ac:dyDescent="0.25"/>
    <row r="247" ht="32.25" hidden="1" customHeight="1" x14ac:dyDescent="0.25"/>
    <row r="248" ht="32.25" hidden="1" customHeight="1" x14ac:dyDescent="0.25"/>
    <row r="249" ht="32.25" hidden="1" customHeight="1" x14ac:dyDescent="0.25"/>
    <row r="250" ht="32.25" hidden="1" customHeight="1" x14ac:dyDescent="0.25"/>
    <row r="251" ht="32.25" hidden="1" customHeight="1" x14ac:dyDescent="0.25"/>
    <row r="252" ht="32.25" hidden="1" customHeight="1" x14ac:dyDescent="0.25"/>
    <row r="253" ht="32.25" hidden="1" customHeight="1" x14ac:dyDescent="0.25"/>
    <row r="254" ht="32.25" hidden="1" customHeight="1" x14ac:dyDescent="0.25"/>
    <row r="255" ht="32.25" hidden="1" customHeight="1" x14ac:dyDescent="0.25"/>
    <row r="256" ht="32.25" hidden="1" customHeight="1" x14ac:dyDescent="0.25"/>
    <row r="257" ht="32.25" hidden="1" customHeight="1" x14ac:dyDescent="0.25"/>
    <row r="258" ht="32.25" hidden="1" customHeight="1" x14ac:dyDescent="0.25"/>
    <row r="259" ht="32.25" hidden="1" customHeight="1" x14ac:dyDescent="0.25"/>
    <row r="260" ht="32.25" hidden="1" customHeight="1" x14ac:dyDescent="0.25"/>
    <row r="261" ht="32.25" hidden="1" customHeight="1" x14ac:dyDescent="0.25"/>
    <row r="262" ht="32.25" hidden="1" customHeight="1" x14ac:dyDescent="0.25"/>
    <row r="263" ht="32.25" hidden="1" customHeight="1" x14ac:dyDescent="0.25"/>
    <row r="264" ht="32.25" hidden="1" customHeight="1" x14ac:dyDescent="0.25"/>
    <row r="265" ht="32.25" hidden="1" customHeight="1" x14ac:dyDescent="0.25"/>
    <row r="266" ht="32.25" hidden="1" customHeight="1" x14ac:dyDescent="0.25"/>
    <row r="267" ht="32.25" hidden="1" customHeight="1" x14ac:dyDescent="0.25"/>
    <row r="268" ht="32.25" hidden="1" customHeight="1" x14ac:dyDescent="0.25"/>
    <row r="269" ht="32.25" hidden="1" customHeight="1" x14ac:dyDescent="0.25"/>
    <row r="270" ht="32.25" hidden="1" customHeight="1" x14ac:dyDescent="0.25"/>
    <row r="271" ht="32.25" hidden="1" customHeight="1" x14ac:dyDescent="0.25"/>
    <row r="272" ht="32.25" hidden="1" customHeight="1" x14ac:dyDescent="0.25"/>
    <row r="273" ht="32.25" hidden="1" customHeight="1" x14ac:dyDescent="0.25"/>
    <row r="274" ht="32.25" hidden="1" customHeight="1" x14ac:dyDescent="0.25"/>
    <row r="275" ht="32.25" hidden="1" customHeight="1" x14ac:dyDescent="0.25"/>
    <row r="276" ht="32.25" hidden="1" customHeight="1" x14ac:dyDescent="0.25"/>
    <row r="277" ht="32.25" hidden="1" customHeight="1" x14ac:dyDescent="0.25"/>
    <row r="278" ht="32.25" hidden="1" customHeight="1" x14ac:dyDescent="0.25"/>
    <row r="279" ht="32.25" hidden="1" customHeight="1" x14ac:dyDescent="0.25"/>
    <row r="280" ht="32.25" hidden="1" customHeight="1" x14ac:dyDescent="0.25"/>
    <row r="281" ht="32.25" hidden="1" customHeight="1" x14ac:dyDescent="0.25"/>
    <row r="282" ht="32.25" hidden="1" customHeight="1" x14ac:dyDescent="0.25"/>
    <row r="283" ht="32.25" hidden="1" customHeight="1" x14ac:dyDescent="0.25"/>
    <row r="284" ht="32.25" hidden="1" customHeight="1" x14ac:dyDescent="0.25"/>
    <row r="285" ht="32.25" hidden="1" customHeight="1" x14ac:dyDescent="0.25"/>
    <row r="286" ht="32.25" hidden="1" customHeight="1" x14ac:dyDescent="0.25"/>
    <row r="287" ht="32.25" hidden="1" customHeight="1" x14ac:dyDescent="0.25"/>
    <row r="288" ht="32.25" hidden="1" customHeight="1" x14ac:dyDescent="0.25"/>
    <row r="289" ht="32.25" hidden="1" customHeight="1" x14ac:dyDescent="0.25"/>
    <row r="290" ht="32.25" hidden="1" customHeight="1" x14ac:dyDescent="0.25"/>
    <row r="291" ht="32.25" hidden="1" customHeight="1" x14ac:dyDescent="0.25"/>
    <row r="292" ht="32.25" hidden="1" customHeight="1" x14ac:dyDescent="0.25"/>
    <row r="293" ht="32.25" hidden="1" customHeight="1" x14ac:dyDescent="0.25"/>
    <row r="294" ht="32.25" hidden="1" customHeight="1" x14ac:dyDescent="0.25"/>
    <row r="295" ht="32.25" hidden="1" customHeight="1" x14ac:dyDescent="0.25"/>
    <row r="296" ht="32.25" hidden="1" customHeight="1" x14ac:dyDescent="0.25"/>
    <row r="297" ht="32.25" hidden="1" customHeight="1" x14ac:dyDescent="0.25"/>
    <row r="298" ht="32.25" hidden="1" customHeight="1" x14ac:dyDescent="0.25"/>
    <row r="299" ht="32.25" hidden="1" customHeight="1" x14ac:dyDescent="0.25"/>
    <row r="300" ht="32.25" hidden="1" customHeight="1" x14ac:dyDescent="0.25"/>
    <row r="301" ht="32.25" hidden="1" customHeight="1" x14ac:dyDescent="0.25"/>
    <row r="302" ht="32.25" hidden="1" customHeight="1" x14ac:dyDescent="0.25"/>
    <row r="303" ht="32.25" hidden="1" customHeight="1" x14ac:dyDescent="0.25"/>
    <row r="304" ht="32.25" hidden="1" customHeight="1" x14ac:dyDescent="0.25"/>
    <row r="305" ht="32.25" hidden="1" customHeight="1" x14ac:dyDescent="0.25"/>
    <row r="306" ht="32.25" hidden="1" customHeight="1" x14ac:dyDescent="0.25"/>
    <row r="307" ht="32.25" hidden="1" customHeight="1" x14ac:dyDescent="0.25"/>
    <row r="308" ht="32.25" hidden="1" customHeight="1" x14ac:dyDescent="0.25"/>
    <row r="309" ht="32.25" hidden="1" customHeight="1" x14ac:dyDescent="0.25"/>
    <row r="310" ht="32.25" hidden="1" customHeight="1" x14ac:dyDescent="0.25"/>
    <row r="311" ht="32.25" hidden="1" customHeight="1" x14ac:dyDescent="0.25"/>
    <row r="312" ht="32.25" hidden="1" customHeight="1" x14ac:dyDescent="0.25"/>
    <row r="313" ht="32.25" hidden="1" customHeight="1" x14ac:dyDescent="0.25"/>
    <row r="314" ht="32.25" hidden="1" customHeight="1" x14ac:dyDescent="0.25"/>
    <row r="315" ht="32.25" hidden="1" customHeight="1" x14ac:dyDescent="0.25"/>
    <row r="316" ht="32.25" hidden="1" customHeight="1" x14ac:dyDescent="0.25"/>
    <row r="317" ht="32.25" hidden="1" customHeight="1" x14ac:dyDescent="0.25"/>
    <row r="318" ht="32.25" hidden="1" customHeight="1" x14ac:dyDescent="0.25"/>
    <row r="319" ht="32.25" hidden="1" customHeight="1" x14ac:dyDescent="0.25"/>
    <row r="320" ht="32.25" hidden="1" customHeight="1" x14ac:dyDescent="0.25"/>
    <row r="321" ht="32.25" hidden="1" customHeight="1" x14ac:dyDescent="0.25"/>
    <row r="322" ht="32.25" hidden="1" customHeight="1" x14ac:dyDescent="0.25"/>
    <row r="323" ht="32.25" hidden="1" customHeight="1" x14ac:dyDescent="0.25"/>
    <row r="324" ht="32.25" hidden="1" customHeight="1" x14ac:dyDescent="0.25"/>
    <row r="325" ht="32.25" hidden="1" customHeight="1" x14ac:dyDescent="0.25"/>
    <row r="326" ht="32.25" hidden="1" customHeight="1" x14ac:dyDescent="0.25"/>
    <row r="327" ht="32.25" hidden="1" customHeight="1" x14ac:dyDescent="0.25"/>
    <row r="328" ht="32.25" hidden="1" customHeight="1" x14ac:dyDescent="0.25"/>
    <row r="329" ht="32.25" hidden="1" customHeight="1" x14ac:dyDescent="0.25"/>
    <row r="330" ht="32.25" hidden="1" customHeight="1" x14ac:dyDescent="0.25"/>
    <row r="331" ht="32.25" hidden="1" customHeight="1" x14ac:dyDescent="0.25"/>
    <row r="332" ht="32.25" hidden="1" customHeight="1" x14ac:dyDescent="0.25"/>
    <row r="333" ht="32.25" hidden="1" customHeight="1" x14ac:dyDescent="0.25"/>
    <row r="334" ht="32.25" hidden="1" customHeight="1" x14ac:dyDescent="0.25"/>
    <row r="335" ht="32.25" hidden="1" customHeight="1" x14ac:dyDescent="0.25"/>
    <row r="336" ht="32.25" hidden="1" customHeight="1" x14ac:dyDescent="0.25"/>
    <row r="337" ht="32.25" hidden="1" customHeight="1" x14ac:dyDescent="0.25"/>
    <row r="338" ht="32.25" hidden="1" customHeight="1" x14ac:dyDescent="0.25"/>
    <row r="339" ht="32.25" hidden="1" customHeight="1" x14ac:dyDescent="0.25"/>
    <row r="340" ht="32.25" hidden="1" customHeight="1" x14ac:dyDescent="0.25"/>
    <row r="341" ht="32.25" hidden="1" customHeight="1" x14ac:dyDescent="0.25"/>
    <row r="342" ht="32.25" hidden="1" customHeight="1" x14ac:dyDescent="0.25"/>
    <row r="343" ht="32.25" hidden="1" customHeight="1" x14ac:dyDescent="0.25"/>
    <row r="344" ht="32.25" hidden="1" customHeight="1" x14ac:dyDescent="0.25"/>
    <row r="345" ht="32.25" hidden="1" customHeight="1" x14ac:dyDescent="0.25"/>
    <row r="346" ht="32.25" hidden="1" customHeight="1" x14ac:dyDescent="0.25"/>
    <row r="347" ht="32.25" hidden="1" customHeight="1" x14ac:dyDescent="0.25"/>
    <row r="348" ht="32.25" hidden="1" customHeight="1" x14ac:dyDescent="0.25"/>
    <row r="349" ht="32.25" hidden="1" customHeight="1" x14ac:dyDescent="0.25"/>
    <row r="350" ht="32.25" hidden="1" customHeight="1" x14ac:dyDescent="0.25"/>
    <row r="351" ht="32.25" hidden="1" customHeight="1" x14ac:dyDescent="0.25"/>
    <row r="352" ht="32.25" hidden="1" customHeight="1" x14ac:dyDescent="0.25"/>
    <row r="353" ht="32.25" hidden="1" customHeight="1" x14ac:dyDescent="0.25"/>
    <row r="354" ht="32.25" hidden="1" customHeight="1" x14ac:dyDescent="0.25"/>
    <row r="355" ht="32.25" hidden="1" customHeight="1" x14ac:dyDescent="0.25"/>
    <row r="356" ht="32.25" hidden="1" customHeight="1" x14ac:dyDescent="0.25"/>
    <row r="357" ht="32.25" hidden="1" customHeight="1" x14ac:dyDescent="0.25"/>
    <row r="358" ht="32.25" hidden="1" customHeight="1" x14ac:dyDescent="0.25"/>
    <row r="359" ht="32.25" hidden="1" customHeight="1" x14ac:dyDescent="0.25"/>
    <row r="360" ht="32.25" hidden="1" customHeight="1" x14ac:dyDescent="0.25"/>
    <row r="361" ht="32.25" hidden="1" customHeight="1" x14ac:dyDescent="0.25"/>
    <row r="362" ht="32.25" hidden="1" customHeight="1" x14ac:dyDescent="0.25"/>
    <row r="363" ht="32.25" hidden="1" customHeight="1" x14ac:dyDescent="0.25"/>
    <row r="364" ht="32.25" hidden="1" customHeight="1" x14ac:dyDescent="0.25"/>
    <row r="365" ht="32.25" hidden="1" customHeight="1" x14ac:dyDescent="0.25"/>
    <row r="366" ht="32.25" hidden="1" customHeight="1" x14ac:dyDescent="0.25"/>
    <row r="367" ht="32.25" hidden="1" customHeight="1" x14ac:dyDescent="0.25"/>
    <row r="368" ht="32.25" hidden="1" customHeight="1" x14ac:dyDescent="0.25"/>
    <row r="369" ht="32.25" hidden="1" customHeight="1" x14ac:dyDescent="0.25"/>
    <row r="370" ht="32.25" hidden="1" customHeight="1" x14ac:dyDescent="0.25"/>
    <row r="371" ht="32.25" hidden="1" customHeight="1" x14ac:dyDescent="0.25"/>
    <row r="372" ht="32.25" hidden="1" customHeight="1" x14ac:dyDescent="0.25"/>
    <row r="373" ht="32.25" hidden="1" customHeight="1" x14ac:dyDescent="0.25"/>
    <row r="374" ht="32.25" hidden="1" customHeight="1" x14ac:dyDescent="0.25"/>
    <row r="375" ht="32.25" hidden="1" customHeight="1" x14ac:dyDescent="0.25"/>
    <row r="376" ht="32.25" hidden="1" customHeight="1" x14ac:dyDescent="0.25"/>
    <row r="377" ht="32.25" hidden="1" customHeight="1" x14ac:dyDescent="0.25"/>
    <row r="378" ht="32.25" hidden="1" customHeight="1" x14ac:dyDescent="0.25"/>
    <row r="379" ht="32.25" hidden="1" customHeight="1" x14ac:dyDescent="0.25"/>
    <row r="380" ht="32.25" hidden="1" customHeight="1" x14ac:dyDescent="0.25"/>
    <row r="381" ht="32.25" hidden="1" customHeight="1" x14ac:dyDescent="0.25"/>
    <row r="382" ht="32.25" hidden="1" customHeight="1" x14ac:dyDescent="0.25"/>
    <row r="383" ht="32.25" hidden="1" customHeight="1" x14ac:dyDescent="0.25"/>
    <row r="384" ht="32.25" hidden="1" customHeight="1" x14ac:dyDescent="0.25"/>
    <row r="385" ht="32.25" hidden="1" customHeight="1" x14ac:dyDescent="0.25"/>
    <row r="386" ht="32.25" hidden="1" customHeight="1" x14ac:dyDescent="0.25"/>
    <row r="387" ht="32.25" hidden="1" customHeight="1" x14ac:dyDescent="0.25"/>
    <row r="388" ht="32.25" hidden="1" customHeight="1" x14ac:dyDescent="0.25"/>
    <row r="389" ht="32.25" hidden="1" customHeight="1" x14ac:dyDescent="0.25"/>
    <row r="390" ht="32.25" hidden="1" customHeight="1" x14ac:dyDescent="0.25"/>
    <row r="391" ht="32.25" hidden="1" customHeight="1" x14ac:dyDescent="0.25"/>
    <row r="392" ht="32.25" hidden="1" customHeight="1" x14ac:dyDescent="0.25"/>
    <row r="393" ht="32.25" hidden="1" customHeight="1" x14ac:dyDescent="0.25"/>
    <row r="394" ht="32.25" hidden="1" customHeight="1" x14ac:dyDescent="0.25"/>
    <row r="395" ht="32.25" hidden="1" customHeight="1" x14ac:dyDescent="0.25"/>
    <row r="396" ht="32.25" hidden="1" customHeight="1" x14ac:dyDescent="0.25"/>
    <row r="397" ht="32.25" hidden="1" customHeight="1" x14ac:dyDescent="0.25"/>
    <row r="398" ht="32.25" hidden="1" customHeight="1" x14ac:dyDescent="0.25"/>
    <row r="399" ht="32.25" hidden="1" customHeight="1" x14ac:dyDescent="0.25"/>
    <row r="400" ht="32.25" hidden="1" customHeight="1" x14ac:dyDescent="0.25"/>
    <row r="401" ht="32.25" hidden="1" customHeight="1" x14ac:dyDescent="0.25"/>
    <row r="402" ht="32.25" hidden="1" customHeight="1" x14ac:dyDescent="0.25"/>
    <row r="403" ht="32.25" hidden="1" customHeight="1" x14ac:dyDescent="0.25"/>
    <row r="404" ht="32.25" hidden="1" customHeight="1" x14ac:dyDescent="0.25"/>
    <row r="405" ht="32.25" hidden="1" customHeight="1" x14ac:dyDescent="0.25"/>
    <row r="406" ht="32.25" hidden="1" customHeight="1" x14ac:dyDescent="0.25"/>
    <row r="407" ht="32.25" hidden="1" customHeight="1" x14ac:dyDescent="0.25"/>
    <row r="408" ht="32.25" hidden="1" customHeight="1" x14ac:dyDescent="0.25"/>
    <row r="409" ht="32.25" hidden="1" customHeight="1" x14ac:dyDescent="0.25"/>
    <row r="410" ht="32.25" hidden="1" customHeight="1" x14ac:dyDescent="0.25"/>
    <row r="411" ht="32.25" hidden="1" customHeight="1" x14ac:dyDescent="0.25"/>
    <row r="412" ht="32.25" hidden="1" customHeight="1" x14ac:dyDescent="0.25"/>
    <row r="413" ht="32.25" hidden="1" customHeight="1" x14ac:dyDescent="0.25"/>
    <row r="414" ht="32.25" hidden="1" customHeight="1" x14ac:dyDescent="0.25"/>
    <row r="415" ht="32.25" hidden="1" customHeight="1" x14ac:dyDescent="0.25"/>
    <row r="416" ht="32.25" hidden="1" customHeight="1" x14ac:dyDescent="0.25"/>
    <row r="417" ht="32.25" hidden="1" customHeight="1" x14ac:dyDescent="0.25"/>
    <row r="418" ht="32.25" hidden="1" customHeight="1" x14ac:dyDescent="0.25"/>
    <row r="419" ht="32.25" hidden="1" customHeight="1" x14ac:dyDescent="0.25"/>
    <row r="420" ht="32.25" hidden="1" customHeight="1" x14ac:dyDescent="0.25"/>
    <row r="421" ht="32.25" hidden="1" customHeight="1" x14ac:dyDescent="0.25"/>
    <row r="422" ht="32.25" hidden="1" customHeight="1" x14ac:dyDescent="0.25"/>
    <row r="423" ht="32.25" hidden="1" customHeight="1" x14ac:dyDescent="0.25"/>
    <row r="424" ht="32.25" hidden="1" customHeight="1" x14ac:dyDescent="0.25"/>
    <row r="425" ht="32.25" hidden="1" customHeight="1" x14ac:dyDescent="0.25"/>
    <row r="426" ht="32.25" hidden="1" customHeight="1" x14ac:dyDescent="0.25"/>
    <row r="427" ht="32.25" hidden="1" customHeight="1" x14ac:dyDescent="0.25"/>
    <row r="428" ht="32.25" hidden="1" customHeight="1" x14ac:dyDescent="0.25"/>
    <row r="429" ht="32.25" hidden="1" customHeight="1" x14ac:dyDescent="0.25"/>
    <row r="430" ht="32.25" hidden="1" customHeight="1" x14ac:dyDescent="0.25"/>
    <row r="431" ht="32.25" hidden="1" customHeight="1" x14ac:dyDescent="0.25"/>
    <row r="432" ht="32.25" hidden="1" customHeight="1" x14ac:dyDescent="0.25"/>
    <row r="433" ht="32.25" hidden="1" customHeight="1" x14ac:dyDescent="0.25"/>
    <row r="434" ht="32.25" hidden="1" customHeight="1" x14ac:dyDescent="0.25"/>
    <row r="435" ht="32.25" hidden="1" customHeight="1" x14ac:dyDescent="0.25"/>
    <row r="436" ht="32.25" hidden="1" customHeight="1" x14ac:dyDescent="0.25"/>
    <row r="437" ht="32.25" hidden="1" customHeight="1" x14ac:dyDescent="0.25"/>
    <row r="438" ht="32.25" hidden="1" customHeight="1" x14ac:dyDescent="0.25"/>
    <row r="439" ht="32.25" hidden="1" customHeight="1" x14ac:dyDescent="0.25"/>
    <row r="440" ht="32.25" hidden="1" customHeight="1" x14ac:dyDescent="0.25"/>
    <row r="441" ht="32.25" hidden="1" customHeight="1" x14ac:dyDescent="0.25"/>
    <row r="442" ht="32.25" hidden="1" customHeight="1" x14ac:dyDescent="0.25"/>
    <row r="443" ht="32.25" hidden="1" customHeight="1" x14ac:dyDescent="0.25"/>
    <row r="444" ht="32.25" hidden="1" customHeight="1" x14ac:dyDescent="0.25"/>
    <row r="445" ht="32.25" hidden="1" customHeight="1" x14ac:dyDescent="0.25"/>
    <row r="446" ht="32.25" hidden="1" customHeight="1" x14ac:dyDescent="0.25"/>
    <row r="447" ht="32.25" hidden="1" customHeight="1" x14ac:dyDescent="0.25"/>
    <row r="448" ht="32.25" hidden="1" customHeight="1" x14ac:dyDescent="0.25"/>
    <row r="449" ht="32.25" hidden="1" customHeight="1" x14ac:dyDescent="0.25"/>
    <row r="450" ht="32.25" hidden="1" customHeight="1" x14ac:dyDescent="0.25"/>
    <row r="451" ht="32.25" hidden="1" customHeight="1" x14ac:dyDescent="0.25"/>
    <row r="452" ht="32.25" hidden="1" customHeight="1" x14ac:dyDescent="0.25"/>
    <row r="453" ht="32.25" hidden="1" customHeight="1" x14ac:dyDescent="0.25"/>
    <row r="454" ht="32.25" hidden="1" customHeight="1" x14ac:dyDescent="0.25"/>
    <row r="455" ht="32.25" hidden="1" customHeight="1" x14ac:dyDescent="0.25"/>
    <row r="456" ht="32.25" hidden="1" customHeight="1" x14ac:dyDescent="0.25"/>
    <row r="457" ht="32.25" hidden="1" customHeight="1" x14ac:dyDescent="0.25"/>
    <row r="458" ht="32.25" hidden="1" customHeight="1" x14ac:dyDescent="0.25"/>
    <row r="459" ht="32.25" hidden="1" customHeight="1" x14ac:dyDescent="0.25"/>
    <row r="460" ht="32.25" hidden="1" customHeight="1" x14ac:dyDescent="0.25"/>
    <row r="461" ht="32.25" hidden="1" customHeight="1" x14ac:dyDescent="0.25"/>
    <row r="462" ht="32.25" hidden="1" customHeight="1" x14ac:dyDescent="0.25"/>
    <row r="463" ht="32.25" hidden="1" customHeight="1" x14ac:dyDescent="0.25"/>
    <row r="464" ht="32.25" hidden="1" customHeight="1" x14ac:dyDescent="0.25"/>
    <row r="465" ht="32.25" hidden="1" customHeight="1" x14ac:dyDescent="0.25"/>
    <row r="466" ht="32.25" hidden="1" customHeight="1" x14ac:dyDescent="0.25"/>
    <row r="467" ht="32.25" hidden="1" customHeight="1" x14ac:dyDescent="0.25"/>
    <row r="468" ht="32.25" hidden="1" customHeight="1" x14ac:dyDescent="0.25"/>
    <row r="469" ht="32.25" hidden="1" customHeight="1" x14ac:dyDescent="0.25"/>
    <row r="470" ht="32.25" hidden="1" customHeight="1" x14ac:dyDescent="0.25"/>
    <row r="471" ht="32.25" hidden="1" customHeight="1" x14ac:dyDescent="0.25"/>
    <row r="472" ht="32.25" hidden="1" customHeight="1" x14ac:dyDescent="0.25"/>
    <row r="473" ht="32.25" hidden="1" customHeight="1" x14ac:dyDescent="0.25"/>
    <row r="474" ht="32.25" hidden="1" customHeight="1" x14ac:dyDescent="0.25"/>
    <row r="475" ht="32.25" hidden="1" customHeight="1" x14ac:dyDescent="0.25"/>
    <row r="476" ht="32.25" hidden="1" customHeight="1" x14ac:dyDescent="0.25"/>
    <row r="477" ht="32.25" hidden="1" customHeight="1" x14ac:dyDescent="0.25"/>
    <row r="478" ht="32.25" hidden="1" customHeight="1" x14ac:dyDescent="0.25"/>
    <row r="479" ht="32.25" hidden="1" customHeight="1" x14ac:dyDescent="0.25"/>
    <row r="480" ht="32.25" hidden="1" customHeight="1" x14ac:dyDescent="0.25"/>
    <row r="481" ht="32.25" hidden="1" customHeight="1" x14ac:dyDescent="0.25"/>
    <row r="482" ht="32.25" hidden="1" customHeight="1" x14ac:dyDescent="0.25"/>
    <row r="483" ht="32.25" hidden="1" customHeight="1" x14ac:dyDescent="0.25"/>
    <row r="484" ht="32.25" hidden="1" customHeight="1" x14ac:dyDescent="0.25"/>
    <row r="485" ht="32.25" hidden="1" customHeight="1" x14ac:dyDescent="0.25"/>
    <row r="486" ht="32.25" hidden="1" customHeight="1" x14ac:dyDescent="0.25"/>
    <row r="487" ht="32.25" hidden="1" customHeight="1" x14ac:dyDescent="0.25"/>
    <row r="488" ht="32.25" hidden="1" customHeight="1" x14ac:dyDescent="0.25"/>
    <row r="489" ht="32.25" hidden="1" customHeight="1" x14ac:dyDescent="0.25"/>
    <row r="490" ht="32.25" hidden="1" customHeight="1" x14ac:dyDescent="0.25"/>
    <row r="491" ht="32.25" hidden="1" customHeight="1" x14ac:dyDescent="0.25"/>
    <row r="492" ht="32.25" hidden="1" customHeight="1" x14ac:dyDescent="0.25"/>
    <row r="493" ht="32.25" hidden="1" customHeight="1" x14ac:dyDescent="0.25"/>
    <row r="494" ht="32.25" hidden="1" customHeight="1" x14ac:dyDescent="0.25"/>
    <row r="495" ht="32.25" hidden="1" customHeight="1" x14ac:dyDescent="0.25"/>
    <row r="496" ht="32.25" hidden="1" customHeight="1" x14ac:dyDescent="0.25"/>
    <row r="497" ht="32.25" hidden="1" customHeight="1" x14ac:dyDescent="0.25"/>
    <row r="498" ht="32.25" hidden="1" customHeight="1" x14ac:dyDescent="0.25"/>
    <row r="499" ht="32.25" hidden="1" customHeight="1" x14ac:dyDescent="0.25"/>
    <row r="500" ht="32.25" hidden="1" customHeight="1" x14ac:dyDescent="0.25"/>
    <row r="501" ht="32.25" hidden="1" customHeight="1" x14ac:dyDescent="0.25"/>
    <row r="502" ht="32.25" hidden="1" customHeight="1" x14ac:dyDescent="0.25"/>
    <row r="503" ht="32.25" hidden="1" customHeight="1" x14ac:dyDescent="0.25"/>
    <row r="504" ht="32.25" hidden="1" customHeight="1" x14ac:dyDescent="0.25"/>
    <row r="505" ht="32.25" hidden="1" customHeight="1" x14ac:dyDescent="0.25"/>
    <row r="506" ht="32.25" hidden="1" customHeight="1" x14ac:dyDescent="0.25"/>
    <row r="507" ht="32.25" hidden="1" customHeight="1" x14ac:dyDescent="0.25"/>
    <row r="508" ht="32.25" hidden="1" customHeight="1" x14ac:dyDescent="0.25"/>
    <row r="509" ht="32.25" hidden="1" customHeight="1" x14ac:dyDescent="0.25"/>
    <row r="510" ht="32.25" hidden="1" customHeight="1" x14ac:dyDescent="0.25"/>
    <row r="511" ht="32.25" hidden="1" customHeight="1" x14ac:dyDescent="0.25"/>
    <row r="512" ht="32.25" hidden="1" customHeight="1" x14ac:dyDescent="0.25"/>
    <row r="513" ht="32.25" hidden="1" customHeight="1" x14ac:dyDescent="0.25"/>
    <row r="514" ht="32.25" hidden="1" customHeight="1" x14ac:dyDescent="0.25"/>
    <row r="515" ht="32.25" hidden="1" customHeight="1" x14ac:dyDescent="0.25"/>
    <row r="516" ht="32.25" hidden="1" customHeight="1" x14ac:dyDescent="0.25"/>
    <row r="517" ht="32.25" hidden="1" customHeight="1" x14ac:dyDescent="0.25"/>
    <row r="518" ht="32.25" hidden="1" customHeight="1" x14ac:dyDescent="0.25"/>
    <row r="519" ht="32.25" hidden="1" customHeight="1" x14ac:dyDescent="0.25"/>
    <row r="520" ht="32.25" hidden="1" customHeight="1" x14ac:dyDescent="0.25"/>
    <row r="521" ht="32.25" hidden="1" customHeight="1" x14ac:dyDescent="0.25"/>
    <row r="522" ht="32.25" hidden="1" customHeight="1" x14ac:dyDescent="0.25"/>
    <row r="523" ht="32.25" hidden="1" customHeight="1" x14ac:dyDescent="0.25"/>
    <row r="524" ht="32.25" hidden="1" customHeight="1" x14ac:dyDescent="0.25"/>
    <row r="525" ht="32.25" hidden="1" customHeight="1" x14ac:dyDescent="0.25"/>
    <row r="526" ht="32.25" hidden="1" customHeight="1" x14ac:dyDescent="0.25"/>
    <row r="527" ht="32.25" hidden="1" customHeight="1" x14ac:dyDescent="0.25"/>
    <row r="528" ht="32.25" hidden="1" customHeight="1" x14ac:dyDescent="0.25"/>
    <row r="529" ht="32.25" hidden="1" customHeight="1" x14ac:dyDescent="0.25"/>
    <row r="530" ht="32.25" hidden="1" customHeight="1" x14ac:dyDescent="0.25"/>
    <row r="531" ht="32.25" hidden="1" customHeight="1" x14ac:dyDescent="0.25"/>
    <row r="532" ht="32.25" hidden="1" customHeight="1" x14ac:dyDescent="0.25"/>
    <row r="533" ht="32.25" hidden="1" customHeight="1" x14ac:dyDescent="0.25"/>
    <row r="534" ht="32.25" hidden="1" customHeight="1" x14ac:dyDescent="0.25"/>
    <row r="535" ht="32.25" hidden="1" customHeight="1" x14ac:dyDescent="0.25"/>
    <row r="536" ht="32.25" hidden="1" customHeight="1" x14ac:dyDescent="0.25"/>
    <row r="537" ht="32.25" hidden="1" customHeight="1" x14ac:dyDescent="0.25"/>
    <row r="538" ht="32.25" hidden="1" customHeight="1" x14ac:dyDescent="0.25"/>
    <row r="539" ht="32.25" hidden="1" customHeight="1" x14ac:dyDescent="0.25"/>
    <row r="540" ht="32.25" hidden="1" customHeight="1" x14ac:dyDescent="0.25"/>
    <row r="541" ht="32.25" hidden="1" customHeight="1" x14ac:dyDescent="0.25"/>
    <row r="542" ht="32.25" hidden="1" customHeight="1" x14ac:dyDescent="0.25"/>
    <row r="543" ht="32.25" hidden="1" customHeight="1" x14ac:dyDescent="0.25"/>
    <row r="544" ht="32.25" hidden="1" customHeight="1" x14ac:dyDescent="0.25"/>
    <row r="545" ht="32.25" hidden="1" customHeight="1" x14ac:dyDescent="0.25"/>
    <row r="546" ht="32.25" hidden="1" customHeight="1" x14ac:dyDescent="0.25"/>
    <row r="547" ht="32.25" hidden="1" customHeight="1" x14ac:dyDescent="0.25"/>
    <row r="548" ht="32.25" hidden="1" customHeight="1" x14ac:dyDescent="0.25"/>
    <row r="549" ht="32.25" hidden="1" customHeight="1" x14ac:dyDescent="0.25"/>
    <row r="550" ht="32.25" hidden="1" customHeight="1" x14ac:dyDescent="0.25"/>
    <row r="551" ht="32.25" hidden="1" customHeight="1" x14ac:dyDescent="0.25"/>
    <row r="552" ht="32.25" hidden="1" customHeight="1" x14ac:dyDescent="0.25"/>
    <row r="553" ht="32.25" hidden="1" customHeight="1" x14ac:dyDescent="0.25"/>
    <row r="554" ht="32.25" hidden="1" customHeight="1" x14ac:dyDescent="0.25"/>
    <row r="555" ht="32.25" hidden="1" customHeight="1" x14ac:dyDescent="0.25"/>
    <row r="556" ht="32.25" hidden="1" customHeight="1" x14ac:dyDescent="0.25"/>
    <row r="557" ht="32.25" hidden="1" customHeight="1" x14ac:dyDescent="0.25"/>
    <row r="558" ht="32.25" hidden="1" customHeight="1" x14ac:dyDescent="0.25"/>
    <row r="559" ht="32.25" hidden="1" customHeight="1" x14ac:dyDescent="0.25"/>
    <row r="560" ht="32.25" hidden="1" customHeight="1" x14ac:dyDescent="0.25"/>
    <row r="561" ht="32.25" hidden="1" customHeight="1" x14ac:dyDescent="0.25"/>
    <row r="562" ht="32.25" hidden="1" customHeight="1" x14ac:dyDescent="0.25"/>
    <row r="563" ht="32.25" hidden="1" customHeight="1" x14ac:dyDescent="0.25"/>
    <row r="564" ht="32.25" hidden="1" customHeight="1" x14ac:dyDescent="0.25"/>
    <row r="565" ht="32.25" hidden="1" customHeight="1" x14ac:dyDescent="0.25"/>
    <row r="566" ht="32.25" hidden="1" customHeight="1" x14ac:dyDescent="0.25"/>
    <row r="567" ht="32.25" hidden="1" customHeight="1" x14ac:dyDescent="0.25"/>
    <row r="568" ht="32.25" hidden="1" customHeight="1" x14ac:dyDescent="0.25"/>
    <row r="569" ht="32.25" hidden="1" customHeight="1" x14ac:dyDescent="0.25"/>
    <row r="570" ht="32.25" hidden="1" customHeight="1" x14ac:dyDescent="0.25"/>
    <row r="571" ht="32.25" hidden="1" customHeight="1" x14ac:dyDescent="0.25"/>
    <row r="572" ht="32.25" hidden="1" customHeight="1" x14ac:dyDescent="0.25"/>
    <row r="573" ht="32.25" hidden="1" customHeight="1" x14ac:dyDescent="0.25"/>
    <row r="574" ht="32.25" hidden="1" customHeight="1" x14ac:dyDescent="0.25"/>
    <row r="575" ht="32.25" hidden="1" customHeight="1" x14ac:dyDescent="0.25"/>
    <row r="576" ht="32.25" hidden="1" customHeight="1" x14ac:dyDescent="0.25"/>
    <row r="577" ht="32.25" hidden="1" customHeight="1" x14ac:dyDescent="0.25"/>
    <row r="578" ht="32.25" hidden="1" customHeight="1" x14ac:dyDescent="0.25"/>
    <row r="579" ht="32.25" hidden="1" customHeight="1" x14ac:dyDescent="0.25"/>
    <row r="580" ht="32.25" hidden="1" customHeight="1" x14ac:dyDescent="0.25"/>
    <row r="581" ht="32.25" hidden="1" customHeight="1" x14ac:dyDescent="0.25"/>
    <row r="582" ht="32.25" hidden="1" customHeight="1" x14ac:dyDescent="0.25"/>
    <row r="583" ht="32.25" hidden="1" customHeight="1" x14ac:dyDescent="0.25"/>
    <row r="584" ht="32.25" hidden="1" customHeight="1" x14ac:dyDescent="0.25"/>
    <row r="585" ht="32.25" hidden="1" customHeight="1" x14ac:dyDescent="0.25"/>
    <row r="586" ht="32.25" hidden="1" customHeight="1" x14ac:dyDescent="0.25"/>
    <row r="587" ht="32.25" hidden="1" customHeight="1" x14ac:dyDescent="0.25"/>
    <row r="588" ht="32.25" hidden="1" customHeight="1" x14ac:dyDescent="0.25"/>
    <row r="589" ht="32.25" hidden="1" customHeight="1" x14ac:dyDescent="0.25"/>
    <row r="590" ht="32.25" hidden="1" customHeight="1" x14ac:dyDescent="0.25"/>
    <row r="591" ht="32.25" hidden="1" customHeight="1" x14ac:dyDescent="0.25"/>
    <row r="592" ht="32.25" hidden="1" customHeight="1" x14ac:dyDescent="0.25"/>
    <row r="593" ht="32.25" hidden="1" customHeight="1" x14ac:dyDescent="0.25"/>
    <row r="594" ht="32.25" hidden="1" customHeight="1" x14ac:dyDescent="0.25"/>
    <row r="595" ht="32.25" hidden="1" customHeight="1" x14ac:dyDescent="0.25"/>
    <row r="596" ht="32.25" hidden="1" customHeight="1" x14ac:dyDescent="0.25"/>
    <row r="597" ht="32.25" hidden="1" customHeight="1" x14ac:dyDescent="0.25"/>
    <row r="598" ht="32.25" hidden="1" customHeight="1" x14ac:dyDescent="0.25"/>
    <row r="599" ht="32.25" hidden="1" customHeight="1" x14ac:dyDescent="0.25"/>
    <row r="600" ht="32.25" hidden="1" customHeight="1" x14ac:dyDescent="0.25"/>
    <row r="601" ht="32.25" hidden="1" customHeight="1" x14ac:dyDescent="0.25"/>
    <row r="602" ht="32.25" hidden="1" customHeight="1" x14ac:dyDescent="0.25"/>
    <row r="603" ht="32.25" hidden="1" customHeight="1" x14ac:dyDescent="0.25"/>
    <row r="604" ht="32.25" hidden="1" customHeight="1" x14ac:dyDescent="0.25"/>
    <row r="605" ht="32.25" hidden="1" customHeight="1" x14ac:dyDescent="0.25"/>
    <row r="606" ht="32.25" hidden="1" customHeight="1" x14ac:dyDescent="0.25"/>
    <row r="607" ht="32.25" hidden="1" customHeight="1" x14ac:dyDescent="0.25"/>
    <row r="608" ht="32.25" hidden="1" customHeight="1" x14ac:dyDescent="0.25"/>
    <row r="609" ht="32.25" hidden="1" customHeight="1" x14ac:dyDescent="0.25"/>
    <row r="610" ht="32.25" hidden="1" customHeight="1" x14ac:dyDescent="0.25"/>
    <row r="611" ht="32.25" hidden="1" customHeight="1" x14ac:dyDescent="0.25"/>
    <row r="612" ht="32.25" hidden="1" customHeight="1" x14ac:dyDescent="0.25"/>
    <row r="613" ht="32.25" hidden="1" customHeight="1" x14ac:dyDescent="0.25"/>
    <row r="614" ht="32.25" hidden="1" customHeight="1" x14ac:dyDescent="0.25"/>
    <row r="615" ht="32.25" hidden="1" customHeight="1" x14ac:dyDescent="0.25"/>
    <row r="616" ht="32.25" hidden="1" customHeight="1" x14ac:dyDescent="0.25"/>
    <row r="617" ht="32.25" hidden="1" customHeight="1" x14ac:dyDescent="0.25"/>
    <row r="618" ht="32.25" hidden="1" customHeight="1" x14ac:dyDescent="0.25"/>
    <row r="619" ht="32.25" hidden="1" customHeight="1" x14ac:dyDescent="0.25"/>
    <row r="620" ht="32.25" hidden="1" customHeight="1" x14ac:dyDescent="0.25"/>
    <row r="621" ht="32.25" hidden="1" customHeight="1" x14ac:dyDescent="0.25"/>
    <row r="622" ht="32.25" hidden="1" customHeight="1" x14ac:dyDescent="0.25"/>
    <row r="623" ht="32.25" hidden="1" customHeight="1" x14ac:dyDescent="0.25"/>
    <row r="624" ht="32.25" hidden="1" customHeight="1" x14ac:dyDescent="0.25"/>
    <row r="625" ht="32.25" hidden="1" customHeight="1" x14ac:dyDescent="0.25"/>
    <row r="626" ht="32.25" hidden="1" customHeight="1" x14ac:dyDescent="0.25"/>
    <row r="627" ht="32.25" hidden="1" customHeight="1" x14ac:dyDescent="0.25"/>
    <row r="628" ht="32.25" hidden="1" customHeight="1" x14ac:dyDescent="0.25"/>
    <row r="629" ht="32.25" hidden="1" customHeight="1" x14ac:dyDescent="0.25"/>
    <row r="630" ht="32.25" hidden="1" customHeight="1" x14ac:dyDescent="0.25"/>
    <row r="631" ht="32.25" hidden="1" customHeight="1" x14ac:dyDescent="0.25"/>
    <row r="632" ht="32.25" hidden="1" customHeight="1" x14ac:dyDescent="0.25"/>
    <row r="633" ht="32.25" hidden="1" customHeight="1" x14ac:dyDescent="0.25"/>
    <row r="634" ht="32.25" hidden="1" customHeight="1" x14ac:dyDescent="0.25"/>
    <row r="635" ht="32.25" hidden="1" customHeight="1" x14ac:dyDescent="0.25"/>
    <row r="636" ht="32.25" hidden="1" customHeight="1" x14ac:dyDescent="0.25"/>
    <row r="637" ht="32.25" hidden="1" customHeight="1" x14ac:dyDescent="0.25"/>
    <row r="638" ht="32.25" hidden="1" customHeight="1" x14ac:dyDescent="0.25"/>
    <row r="639" ht="32.25" hidden="1" customHeight="1" x14ac:dyDescent="0.25"/>
    <row r="640" ht="32.25" hidden="1" customHeight="1" x14ac:dyDescent="0.25"/>
    <row r="641" ht="32.25" hidden="1" customHeight="1" x14ac:dyDescent="0.25"/>
    <row r="642" ht="32.25" hidden="1" customHeight="1" x14ac:dyDescent="0.25"/>
    <row r="643" ht="32.25" hidden="1" customHeight="1" x14ac:dyDescent="0.25"/>
    <row r="644" ht="32.25" hidden="1" customHeight="1" x14ac:dyDescent="0.25"/>
    <row r="645" ht="32.25" hidden="1" customHeight="1" x14ac:dyDescent="0.25"/>
    <row r="646" ht="32.25" hidden="1" customHeight="1" x14ac:dyDescent="0.25"/>
    <row r="647" ht="32.25" hidden="1" customHeight="1" x14ac:dyDescent="0.25"/>
    <row r="648" ht="32.25" hidden="1" customHeight="1" x14ac:dyDescent="0.25"/>
    <row r="649" ht="32.25" hidden="1" customHeight="1" x14ac:dyDescent="0.25"/>
    <row r="650" ht="32.25" hidden="1" customHeight="1" x14ac:dyDescent="0.25"/>
    <row r="651" ht="32.25" hidden="1" customHeight="1" x14ac:dyDescent="0.25"/>
    <row r="652" ht="32.25" hidden="1" customHeight="1" x14ac:dyDescent="0.25"/>
    <row r="653" ht="32.25" hidden="1" customHeight="1" x14ac:dyDescent="0.25"/>
    <row r="654" ht="32.25" hidden="1" customHeight="1" x14ac:dyDescent="0.25"/>
    <row r="655" ht="32.25" hidden="1" customHeight="1" x14ac:dyDescent="0.25"/>
    <row r="656" ht="32.25" hidden="1" customHeight="1" x14ac:dyDescent="0.25"/>
    <row r="657" ht="32.25" hidden="1" customHeight="1" x14ac:dyDescent="0.25"/>
    <row r="658" ht="32.25" hidden="1" customHeight="1" x14ac:dyDescent="0.25"/>
    <row r="659" ht="32.25" hidden="1" customHeight="1" x14ac:dyDescent="0.25"/>
    <row r="660" ht="32.25" hidden="1" customHeight="1" x14ac:dyDescent="0.25"/>
    <row r="661" ht="32.25" hidden="1" customHeight="1" x14ac:dyDescent="0.25"/>
    <row r="662" ht="32.25" hidden="1" customHeight="1" x14ac:dyDescent="0.25"/>
    <row r="663" ht="32.25" hidden="1" customHeight="1" x14ac:dyDescent="0.25"/>
    <row r="664" ht="32.25" hidden="1" customHeight="1" x14ac:dyDescent="0.25"/>
    <row r="665" ht="32.25" hidden="1" customHeight="1" x14ac:dyDescent="0.25"/>
    <row r="666" ht="32.25" hidden="1" customHeight="1" x14ac:dyDescent="0.25"/>
    <row r="667" ht="32.25" hidden="1" customHeight="1" x14ac:dyDescent="0.25"/>
    <row r="668" ht="32.25" hidden="1" customHeight="1" x14ac:dyDescent="0.25"/>
    <row r="669" ht="32.25" hidden="1" customHeight="1" x14ac:dyDescent="0.25"/>
    <row r="670" ht="32.25" hidden="1" customHeight="1" x14ac:dyDescent="0.25"/>
    <row r="671" ht="32.25" hidden="1" customHeight="1" x14ac:dyDescent="0.25"/>
    <row r="672" ht="32.25" hidden="1" customHeight="1" x14ac:dyDescent="0.25"/>
    <row r="673" ht="32.25" hidden="1" customHeight="1" x14ac:dyDescent="0.25"/>
    <row r="674" ht="32.25" hidden="1" customHeight="1" x14ac:dyDescent="0.25"/>
    <row r="675" ht="32.25" hidden="1" customHeight="1" x14ac:dyDescent="0.25"/>
    <row r="676" ht="32.25" hidden="1" customHeight="1" x14ac:dyDescent="0.25"/>
    <row r="677" ht="32.25" hidden="1" customHeight="1" x14ac:dyDescent="0.25"/>
    <row r="678" ht="32.25" hidden="1" customHeight="1" x14ac:dyDescent="0.25"/>
    <row r="679" ht="32.25" hidden="1" customHeight="1" x14ac:dyDescent="0.25"/>
    <row r="680" ht="32.25" hidden="1" customHeight="1" x14ac:dyDescent="0.25"/>
    <row r="681" ht="32.25" hidden="1" customHeight="1" x14ac:dyDescent="0.25"/>
    <row r="682" ht="32.25" hidden="1" customHeight="1" x14ac:dyDescent="0.25"/>
    <row r="683" ht="32.25" hidden="1" customHeight="1" x14ac:dyDescent="0.25"/>
    <row r="684" ht="32.25" hidden="1" customHeight="1" x14ac:dyDescent="0.25"/>
    <row r="685" ht="32.25" hidden="1" customHeight="1" x14ac:dyDescent="0.25"/>
    <row r="686" ht="32.25" hidden="1" customHeight="1" x14ac:dyDescent="0.25"/>
    <row r="687" ht="32.25" hidden="1" customHeight="1" x14ac:dyDescent="0.25"/>
    <row r="688" ht="32.25" hidden="1" customHeight="1" x14ac:dyDescent="0.25"/>
    <row r="689" ht="32.25" hidden="1" customHeight="1" x14ac:dyDescent="0.25"/>
    <row r="690" ht="32.25" hidden="1" customHeight="1" x14ac:dyDescent="0.25"/>
    <row r="691" ht="32.25" hidden="1" customHeight="1" x14ac:dyDescent="0.25"/>
    <row r="692" ht="32.25" hidden="1" customHeight="1" x14ac:dyDescent="0.25"/>
    <row r="693" ht="32.25" hidden="1" customHeight="1" x14ac:dyDescent="0.25"/>
    <row r="694" ht="32.25" hidden="1" customHeight="1" x14ac:dyDescent="0.25"/>
    <row r="695" ht="32.25" hidden="1" customHeight="1" x14ac:dyDescent="0.25"/>
    <row r="696" ht="32.25" hidden="1" customHeight="1" x14ac:dyDescent="0.25"/>
    <row r="697" ht="32.25" hidden="1" customHeight="1" x14ac:dyDescent="0.25"/>
    <row r="698" ht="32.25" hidden="1" customHeight="1" x14ac:dyDescent="0.25"/>
    <row r="699" ht="32.25" hidden="1" customHeight="1" x14ac:dyDescent="0.25"/>
    <row r="700" ht="32.25" hidden="1" customHeight="1" x14ac:dyDescent="0.25"/>
    <row r="701" ht="32.25" hidden="1" customHeight="1" x14ac:dyDescent="0.25"/>
    <row r="702" ht="32.25" hidden="1" customHeight="1" x14ac:dyDescent="0.25"/>
    <row r="703" ht="32.25" hidden="1" customHeight="1" x14ac:dyDescent="0.25"/>
    <row r="704" ht="32.25" hidden="1" customHeight="1" x14ac:dyDescent="0.25"/>
    <row r="705" ht="32.25" hidden="1" customHeight="1" x14ac:dyDescent="0.25"/>
    <row r="706" ht="32.25" hidden="1" customHeight="1" x14ac:dyDescent="0.25"/>
    <row r="707" ht="32.25" hidden="1" customHeight="1" x14ac:dyDescent="0.25"/>
    <row r="708" ht="32.25" hidden="1" customHeight="1" x14ac:dyDescent="0.25"/>
    <row r="709" ht="32.25" hidden="1" customHeight="1" x14ac:dyDescent="0.25"/>
    <row r="710" ht="32.25" hidden="1" customHeight="1" x14ac:dyDescent="0.25"/>
    <row r="711" ht="32.25" hidden="1" customHeight="1" x14ac:dyDescent="0.25"/>
    <row r="712" ht="32.25" hidden="1" customHeight="1" x14ac:dyDescent="0.25"/>
    <row r="713" ht="32.25" hidden="1" customHeight="1" x14ac:dyDescent="0.25"/>
    <row r="714" ht="32.25" hidden="1" customHeight="1" x14ac:dyDescent="0.25"/>
    <row r="715" ht="32.25" hidden="1" customHeight="1" x14ac:dyDescent="0.25"/>
    <row r="716" ht="32.25" hidden="1" customHeight="1" x14ac:dyDescent="0.25"/>
    <row r="717" ht="32.25" hidden="1" customHeight="1" x14ac:dyDescent="0.25"/>
    <row r="718" ht="32.25" hidden="1" customHeight="1" x14ac:dyDescent="0.25"/>
    <row r="719" ht="32.25" hidden="1" customHeight="1" x14ac:dyDescent="0.25"/>
    <row r="720" ht="32.25" hidden="1" customHeight="1" x14ac:dyDescent="0.25"/>
    <row r="721" ht="32.25" hidden="1" customHeight="1" x14ac:dyDescent="0.25"/>
    <row r="722" ht="32.25" hidden="1" customHeight="1" x14ac:dyDescent="0.25"/>
    <row r="723" ht="32.25" hidden="1" customHeight="1" x14ac:dyDescent="0.25"/>
    <row r="724" ht="32.25" hidden="1" customHeight="1" x14ac:dyDescent="0.25"/>
    <row r="725" ht="32.25" hidden="1" customHeight="1" x14ac:dyDescent="0.25"/>
    <row r="726" ht="32.25" hidden="1" customHeight="1" x14ac:dyDescent="0.25"/>
    <row r="727" ht="32.25" hidden="1" customHeight="1" x14ac:dyDescent="0.25"/>
    <row r="728" ht="32.25" hidden="1" customHeight="1" x14ac:dyDescent="0.25"/>
    <row r="729" ht="32.25" hidden="1" customHeight="1" x14ac:dyDescent="0.25"/>
    <row r="730" ht="32.25" hidden="1" customHeight="1" x14ac:dyDescent="0.25"/>
    <row r="731" ht="32.25" hidden="1" customHeight="1" x14ac:dyDescent="0.25"/>
    <row r="732" ht="32.25" hidden="1" customHeight="1" x14ac:dyDescent="0.25"/>
    <row r="733" ht="32.25" hidden="1" customHeight="1" x14ac:dyDescent="0.25"/>
    <row r="734" ht="32.25" hidden="1" customHeight="1" x14ac:dyDescent="0.25"/>
    <row r="735" ht="32.25" hidden="1" customHeight="1" x14ac:dyDescent="0.25"/>
    <row r="736" ht="32.25" hidden="1" customHeight="1" x14ac:dyDescent="0.25"/>
    <row r="737" ht="32.25" hidden="1" customHeight="1" x14ac:dyDescent="0.25"/>
    <row r="738" ht="32.25" hidden="1" customHeight="1" x14ac:dyDescent="0.25"/>
    <row r="739" ht="32.25" hidden="1" customHeight="1" x14ac:dyDescent="0.25"/>
    <row r="740" ht="32.25" hidden="1" customHeight="1" x14ac:dyDescent="0.25"/>
    <row r="741" ht="32.25" hidden="1" customHeight="1" x14ac:dyDescent="0.25"/>
    <row r="742" ht="32.25" hidden="1" customHeight="1" x14ac:dyDescent="0.25"/>
    <row r="743" ht="32.25" hidden="1" customHeight="1" x14ac:dyDescent="0.25"/>
    <row r="744" ht="32.25" hidden="1" customHeight="1" x14ac:dyDescent="0.25"/>
    <row r="745" ht="32.25" hidden="1" customHeight="1" x14ac:dyDescent="0.25"/>
    <row r="746" ht="32.25" hidden="1" customHeight="1" x14ac:dyDescent="0.25"/>
    <row r="747" ht="32.25" hidden="1" customHeight="1" x14ac:dyDescent="0.25"/>
    <row r="748" ht="32.25" hidden="1" customHeight="1" x14ac:dyDescent="0.25"/>
    <row r="749" ht="32.25" hidden="1" customHeight="1" x14ac:dyDescent="0.25"/>
    <row r="750" ht="32.25" hidden="1" customHeight="1" x14ac:dyDescent="0.25"/>
    <row r="751" ht="32.25" hidden="1" customHeight="1" x14ac:dyDescent="0.25"/>
    <row r="752" ht="32.25" hidden="1" customHeight="1" x14ac:dyDescent="0.25"/>
    <row r="753" ht="32.25" hidden="1" customHeight="1" x14ac:dyDescent="0.25"/>
    <row r="754" ht="32.25" hidden="1" customHeight="1" x14ac:dyDescent="0.25"/>
    <row r="755" ht="32.25" hidden="1" customHeight="1" x14ac:dyDescent="0.25"/>
    <row r="756" ht="32.25" hidden="1" customHeight="1" x14ac:dyDescent="0.25"/>
    <row r="757" ht="32.25" hidden="1" customHeight="1" x14ac:dyDescent="0.25"/>
    <row r="758" ht="32.25" hidden="1" customHeight="1" x14ac:dyDescent="0.25"/>
    <row r="759" ht="32.25" hidden="1" customHeight="1" x14ac:dyDescent="0.25"/>
    <row r="760" ht="32.25" hidden="1" customHeight="1" x14ac:dyDescent="0.25"/>
    <row r="761" ht="32.25" hidden="1" customHeight="1" x14ac:dyDescent="0.25"/>
    <row r="762" ht="32.25" hidden="1" customHeight="1" x14ac:dyDescent="0.25"/>
    <row r="763" ht="32.25" hidden="1" customHeight="1" x14ac:dyDescent="0.25"/>
    <row r="764" ht="32.25" hidden="1" customHeight="1" x14ac:dyDescent="0.25"/>
    <row r="765" ht="32.25" hidden="1" customHeight="1" x14ac:dyDescent="0.25"/>
    <row r="766" ht="32.25" hidden="1" customHeight="1" x14ac:dyDescent="0.25"/>
    <row r="767" ht="32.25" hidden="1" customHeight="1" x14ac:dyDescent="0.25"/>
    <row r="768" ht="32.25" hidden="1" customHeight="1" x14ac:dyDescent="0.25"/>
    <row r="769" ht="32.25" hidden="1" customHeight="1" x14ac:dyDescent="0.25"/>
    <row r="770" ht="32.25" hidden="1" customHeight="1" x14ac:dyDescent="0.25"/>
    <row r="771" ht="32.25" hidden="1" customHeight="1" x14ac:dyDescent="0.25"/>
    <row r="772" ht="32.25" hidden="1" customHeight="1" x14ac:dyDescent="0.25"/>
    <row r="773" ht="32.25" hidden="1" customHeight="1" x14ac:dyDescent="0.25"/>
    <row r="774" ht="32.25" hidden="1" customHeight="1" x14ac:dyDescent="0.25"/>
    <row r="775" ht="32.25" hidden="1" customHeight="1" x14ac:dyDescent="0.25"/>
    <row r="776" ht="32.25" hidden="1" customHeight="1" x14ac:dyDescent="0.25"/>
    <row r="777" ht="32.25" hidden="1" customHeight="1" x14ac:dyDescent="0.25"/>
    <row r="778" ht="32.25" hidden="1" customHeight="1" x14ac:dyDescent="0.25"/>
    <row r="779" ht="32.25" hidden="1" customHeight="1" x14ac:dyDescent="0.25"/>
    <row r="780" ht="32.25" hidden="1" customHeight="1" x14ac:dyDescent="0.25"/>
    <row r="781" ht="32.25" hidden="1" customHeight="1" x14ac:dyDescent="0.25"/>
    <row r="782" ht="32.25" hidden="1" customHeight="1" x14ac:dyDescent="0.25"/>
    <row r="783" ht="32.25" hidden="1" customHeight="1" x14ac:dyDescent="0.25"/>
    <row r="784" ht="32.25" hidden="1" customHeight="1" x14ac:dyDescent="0.25"/>
    <row r="785" ht="32.25" hidden="1" customHeight="1" x14ac:dyDescent="0.25"/>
    <row r="786" ht="32.25" hidden="1" customHeight="1" x14ac:dyDescent="0.25"/>
    <row r="787" ht="32.25" hidden="1" customHeight="1" x14ac:dyDescent="0.25"/>
    <row r="788" ht="32.25" hidden="1" customHeight="1" x14ac:dyDescent="0.25"/>
    <row r="789" ht="32.25" hidden="1" customHeight="1" x14ac:dyDescent="0.25"/>
    <row r="790" ht="32.25" hidden="1" customHeight="1" x14ac:dyDescent="0.25"/>
    <row r="791" ht="32.25" hidden="1" customHeight="1" x14ac:dyDescent="0.25"/>
    <row r="792" ht="32.25" hidden="1" customHeight="1" x14ac:dyDescent="0.25"/>
    <row r="793" ht="32.25" hidden="1" customHeight="1" x14ac:dyDescent="0.25"/>
    <row r="794" ht="32.25" hidden="1" customHeight="1" x14ac:dyDescent="0.25"/>
    <row r="795" ht="32.25" hidden="1" customHeight="1" x14ac:dyDescent="0.25"/>
    <row r="796" ht="32.25" hidden="1" customHeight="1" x14ac:dyDescent="0.25"/>
    <row r="797" ht="32.25" hidden="1" customHeight="1" x14ac:dyDescent="0.25"/>
    <row r="798" ht="32.25" hidden="1" customHeight="1" x14ac:dyDescent="0.25"/>
    <row r="799" ht="32.25" hidden="1" customHeight="1" x14ac:dyDescent="0.25"/>
    <row r="800" ht="32.25" hidden="1" customHeight="1" x14ac:dyDescent="0.25"/>
    <row r="801" ht="32.25" hidden="1" customHeight="1" x14ac:dyDescent="0.25"/>
    <row r="802" ht="32.25" hidden="1" customHeight="1" x14ac:dyDescent="0.25"/>
    <row r="803" ht="32.25" hidden="1" customHeight="1" x14ac:dyDescent="0.25"/>
    <row r="804" ht="32.25" hidden="1" customHeight="1" x14ac:dyDescent="0.25"/>
    <row r="805" ht="32.25" hidden="1" customHeight="1" x14ac:dyDescent="0.25"/>
    <row r="806" ht="32.25" hidden="1" customHeight="1" x14ac:dyDescent="0.25"/>
    <row r="807" ht="32.25" hidden="1" customHeight="1" x14ac:dyDescent="0.25"/>
    <row r="808" ht="32.25" hidden="1" customHeight="1" x14ac:dyDescent="0.25"/>
    <row r="809" ht="32.25" hidden="1" customHeight="1" x14ac:dyDescent="0.25"/>
    <row r="810" ht="32.25" hidden="1" customHeight="1" x14ac:dyDescent="0.25"/>
    <row r="811" ht="32.25" hidden="1" customHeight="1" x14ac:dyDescent="0.25"/>
    <row r="812" ht="32.25" hidden="1" customHeight="1" x14ac:dyDescent="0.25"/>
    <row r="813" ht="32.25" hidden="1" customHeight="1" x14ac:dyDescent="0.25"/>
    <row r="814" ht="32.25" hidden="1" customHeight="1" x14ac:dyDescent="0.25"/>
    <row r="815" ht="32.25" hidden="1" customHeight="1" x14ac:dyDescent="0.25"/>
    <row r="816" ht="32.25" hidden="1" customHeight="1" x14ac:dyDescent="0.25"/>
    <row r="817" ht="32.25" hidden="1" customHeight="1" x14ac:dyDescent="0.25"/>
    <row r="818" ht="32.25" hidden="1" customHeight="1" x14ac:dyDescent="0.25"/>
    <row r="819" ht="32.25" hidden="1" customHeight="1" x14ac:dyDescent="0.25"/>
    <row r="820" ht="32.25" hidden="1" customHeight="1" x14ac:dyDescent="0.25"/>
    <row r="821" ht="32.25" hidden="1" customHeight="1" x14ac:dyDescent="0.25"/>
    <row r="822" ht="32.25" hidden="1" customHeight="1" x14ac:dyDescent="0.25"/>
    <row r="823" ht="32.25" hidden="1" customHeight="1" x14ac:dyDescent="0.25"/>
    <row r="824" ht="32.25" hidden="1" customHeight="1" x14ac:dyDescent="0.25"/>
    <row r="825" ht="32.25" hidden="1" customHeight="1" x14ac:dyDescent="0.25"/>
    <row r="826" ht="32.25" hidden="1" customHeight="1" x14ac:dyDescent="0.25"/>
    <row r="827" ht="32.25" hidden="1" customHeight="1" x14ac:dyDescent="0.25"/>
    <row r="828" ht="32.25" hidden="1" customHeight="1" x14ac:dyDescent="0.25"/>
    <row r="829" ht="32.25" hidden="1" customHeight="1" x14ac:dyDescent="0.25"/>
    <row r="830" ht="32.25" hidden="1" customHeight="1" x14ac:dyDescent="0.25"/>
    <row r="831" ht="32.25" hidden="1" customHeight="1" x14ac:dyDescent="0.25"/>
    <row r="832" ht="32.25" hidden="1" customHeight="1" x14ac:dyDescent="0.25"/>
    <row r="833" ht="32.25" hidden="1" customHeight="1" x14ac:dyDescent="0.25"/>
    <row r="834" ht="32.25" hidden="1" customHeight="1" x14ac:dyDescent="0.25"/>
    <row r="835" ht="32.25" hidden="1" customHeight="1" x14ac:dyDescent="0.25"/>
    <row r="836" ht="32.25" hidden="1" customHeight="1" x14ac:dyDescent="0.25"/>
    <row r="837" ht="32.25" hidden="1" customHeight="1" x14ac:dyDescent="0.25"/>
    <row r="838" ht="32.25" hidden="1" customHeight="1" x14ac:dyDescent="0.25"/>
    <row r="839" ht="32.25" hidden="1" customHeight="1" x14ac:dyDescent="0.25"/>
    <row r="840" ht="32.25" hidden="1" customHeight="1" x14ac:dyDescent="0.25"/>
    <row r="841" ht="32.25" hidden="1" customHeight="1" x14ac:dyDescent="0.25"/>
    <row r="842" ht="32.25" hidden="1" customHeight="1" x14ac:dyDescent="0.25"/>
    <row r="843" ht="32.25" hidden="1" customHeight="1" x14ac:dyDescent="0.25"/>
    <row r="844" ht="32.25" hidden="1" customHeight="1" x14ac:dyDescent="0.25"/>
    <row r="845" ht="32.25" hidden="1" customHeight="1" x14ac:dyDescent="0.25"/>
    <row r="846" ht="32.25" hidden="1" customHeight="1" x14ac:dyDescent="0.25"/>
    <row r="847" ht="32.25" hidden="1" customHeight="1" x14ac:dyDescent="0.25"/>
    <row r="848" ht="32.25" hidden="1" customHeight="1" x14ac:dyDescent="0.25"/>
    <row r="849" ht="32.25" hidden="1" customHeight="1" x14ac:dyDescent="0.25"/>
    <row r="850" ht="32.25" hidden="1" customHeight="1" x14ac:dyDescent="0.25"/>
    <row r="851" ht="32.25" hidden="1" customHeight="1" x14ac:dyDescent="0.25"/>
    <row r="852" ht="32.25" hidden="1" customHeight="1" x14ac:dyDescent="0.25"/>
    <row r="853" ht="32.25" hidden="1" customHeight="1" x14ac:dyDescent="0.25"/>
    <row r="854" ht="32.25" hidden="1" customHeight="1" x14ac:dyDescent="0.25"/>
    <row r="855" ht="32.25" hidden="1" customHeight="1" x14ac:dyDescent="0.25"/>
    <row r="856" ht="32.25" hidden="1" customHeight="1" x14ac:dyDescent="0.25"/>
    <row r="857" ht="32.25" hidden="1" customHeight="1" x14ac:dyDescent="0.25"/>
    <row r="858" ht="32.25" hidden="1" customHeight="1" x14ac:dyDescent="0.25"/>
    <row r="859" ht="32.25" hidden="1" customHeight="1" x14ac:dyDescent="0.25"/>
    <row r="860" ht="32.25" hidden="1" customHeight="1" x14ac:dyDescent="0.25"/>
    <row r="861" ht="32.25" hidden="1" customHeight="1" x14ac:dyDescent="0.25"/>
    <row r="862" ht="32.25" hidden="1" customHeight="1" x14ac:dyDescent="0.25"/>
    <row r="863" ht="32.25" hidden="1" customHeight="1" x14ac:dyDescent="0.25"/>
    <row r="864" ht="32.25" hidden="1" customHeight="1" x14ac:dyDescent="0.25"/>
    <row r="865" ht="32.25" hidden="1" customHeight="1" x14ac:dyDescent="0.25"/>
    <row r="866" ht="32.25" hidden="1" customHeight="1" x14ac:dyDescent="0.25"/>
    <row r="867" ht="32.25" hidden="1" customHeight="1" x14ac:dyDescent="0.25"/>
    <row r="868" ht="32.25" hidden="1" customHeight="1" x14ac:dyDescent="0.25"/>
    <row r="869" ht="32.25" hidden="1" customHeight="1" x14ac:dyDescent="0.25"/>
    <row r="870" ht="32.25" hidden="1" customHeight="1" x14ac:dyDescent="0.25"/>
    <row r="871" ht="32.25" hidden="1" customHeight="1" x14ac:dyDescent="0.25"/>
    <row r="872" ht="32.25" hidden="1" customHeight="1" x14ac:dyDescent="0.25"/>
    <row r="873" ht="32.25" hidden="1" customHeight="1" x14ac:dyDescent="0.25"/>
    <row r="874" ht="32.25" hidden="1" customHeight="1" x14ac:dyDescent="0.25"/>
    <row r="875" ht="32.25" hidden="1" customHeight="1" x14ac:dyDescent="0.25"/>
    <row r="876" ht="32.25" hidden="1" customHeight="1" x14ac:dyDescent="0.25"/>
    <row r="877" ht="32.25" hidden="1" customHeight="1" x14ac:dyDescent="0.25"/>
    <row r="878" ht="32.25" hidden="1" customHeight="1" x14ac:dyDescent="0.25"/>
    <row r="879" ht="32.25" hidden="1" customHeight="1" x14ac:dyDescent="0.25"/>
    <row r="880" ht="32.25" hidden="1" customHeight="1" x14ac:dyDescent="0.25"/>
    <row r="881" ht="32.25" hidden="1" customHeight="1" x14ac:dyDescent="0.25"/>
    <row r="882" ht="32.25" hidden="1" customHeight="1" x14ac:dyDescent="0.25"/>
    <row r="883" ht="32.25" hidden="1" customHeight="1" x14ac:dyDescent="0.25"/>
    <row r="884" ht="32.25" hidden="1" customHeight="1" x14ac:dyDescent="0.25"/>
    <row r="885" ht="32.25" hidden="1" customHeight="1" x14ac:dyDescent="0.25"/>
    <row r="886" ht="32.25" hidden="1" customHeight="1" x14ac:dyDescent="0.25"/>
    <row r="887" ht="32.25" hidden="1" customHeight="1" x14ac:dyDescent="0.25"/>
    <row r="888" ht="32.25" hidden="1" customHeight="1" x14ac:dyDescent="0.25"/>
    <row r="889" ht="32.25" hidden="1" customHeight="1" x14ac:dyDescent="0.25"/>
    <row r="890" ht="32.25" hidden="1" customHeight="1" x14ac:dyDescent="0.25"/>
    <row r="891" ht="32.25" hidden="1" customHeight="1" x14ac:dyDescent="0.25"/>
    <row r="892" ht="32.25" hidden="1" customHeight="1" x14ac:dyDescent="0.25"/>
    <row r="893" ht="32.25" hidden="1" customHeight="1" x14ac:dyDescent="0.25"/>
    <row r="894" ht="32.25" hidden="1" customHeight="1" x14ac:dyDescent="0.25"/>
    <row r="895" ht="32.25" hidden="1" customHeight="1" x14ac:dyDescent="0.25"/>
    <row r="896" ht="32.25" hidden="1" customHeight="1" x14ac:dyDescent="0.25"/>
    <row r="897" ht="32.25" hidden="1" customHeight="1" x14ac:dyDescent="0.25"/>
    <row r="898" ht="32.25" hidden="1" customHeight="1" x14ac:dyDescent="0.25"/>
    <row r="899" ht="32.25" hidden="1" customHeight="1" x14ac:dyDescent="0.25"/>
    <row r="900" ht="32.25" hidden="1" customHeight="1" x14ac:dyDescent="0.25"/>
    <row r="901" ht="32.25" hidden="1" customHeight="1" x14ac:dyDescent="0.25"/>
    <row r="902" ht="32.25" hidden="1" customHeight="1" x14ac:dyDescent="0.25"/>
    <row r="903" ht="32.25" hidden="1" customHeight="1" x14ac:dyDescent="0.25"/>
    <row r="904" ht="32.25" hidden="1" customHeight="1" x14ac:dyDescent="0.25"/>
    <row r="905" ht="32.25" hidden="1" customHeight="1" x14ac:dyDescent="0.25"/>
    <row r="906" ht="32.25" hidden="1" customHeight="1" x14ac:dyDescent="0.25"/>
    <row r="907" ht="32.25" hidden="1" customHeight="1" x14ac:dyDescent="0.25"/>
    <row r="908" ht="32.25" hidden="1" customHeight="1" x14ac:dyDescent="0.25"/>
    <row r="909" ht="32.25" hidden="1" customHeight="1" x14ac:dyDescent="0.25"/>
    <row r="910" ht="32.25" hidden="1" customHeight="1" x14ac:dyDescent="0.25"/>
    <row r="911" ht="32.25" hidden="1" customHeight="1" x14ac:dyDescent="0.25"/>
    <row r="912" ht="32.25" hidden="1" customHeight="1" x14ac:dyDescent="0.25"/>
    <row r="913" ht="32.25" hidden="1" customHeight="1" x14ac:dyDescent="0.25"/>
    <row r="914" ht="32.25" hidden="1" customHeight="1" x14ac:dyDescent="0.25"/>
    <row r="915" ht="32.25" hidden="1" customHeight="1" x14ac:dyDescent="0.25"/>
    <row r="916" ht="32.25" hidden="1" customHeight="1" x14ac:dyDescent="0.25"/>
    <row r="917" ht="32.25" hidden="1" customHeight="1" x14ac:dyDescent="0.25"/>
    <row r="918" ht="32.25" hidden="1" customHeight="1" x14ac:dyDescent="0.25"/>
    <row r="919" ht="32.25" hidden="1" customHeight="1" x14ac:dyDescent="0.25"/>
    <row r="920" ht="32.25" hidden="1" customHeight="1" x14ac:dyDescent="0.25"/>
    <row r="921" ht="32.25" hidden="1" customHeight="1" x14ac:dyDescent="0.25"/>
    <row r="922" ht="32.25" hidden="1" customHeight="1" x14ac:dyDescent="0.25"/>
    <row r="923" ht="32.25" hidden="1" customHeight="1" x14ac:dyDescent="0.25"/>
    <row r="924" ht="32.25" hidden="1" customHeight="1" x14ac:dyDescent="0.25"/>
    <row r="925" ht="32.25" hidden="1" customHeight="1" x14ac:dyDescent="0.25"/>
    <row r="926" ht="32.25" hidden="1" customHeight="1" x14ac:dyDescent="0.25"/>
    <row r="927" ht="32.25" hidden="1" customHeight="1" x14ac:dyDescent="0.25"/>
    <row r="928" ht="32.25" hidden="1" customHeight="1" x14ac:dyDescent="0.25"/>
    <row r="929" ht="32.25" hidden="1" customHeight="1" x14ac:dyDescent="0.25"/>
    <row r="930" ht="32.25" hidden="1" customHeight="1" x14ac:dyDescent="0.25"/>
    <row r="931" ht="32.25" hidden="1" customHeight="1" x14ac:dyDescent="0.25"/>
    <row r="932" ht="32.25" hidden="1" customHeight="1" x14ac:dyDescent="0.25"/>
    <row r="933" ht="32.25" hidden="1" customHeight="1" x14ac:dyDescent="0.25"/>
    <row r="934" ht="32.25" hidden="1" customHeight="1" x14ac:dyDescent="0.25"/>
    <row r="935" ht="32.25" hidden="1" customHeight="1" x14ac:dyDescent="0.25"/>
    <row r="936" ht="32.25" hidden="1" customHeight="1" x14ac:dyDescent="0.25"/>
    <row r="937" ht="32.25" hidden="1" customHeight="1" x14ac:dyDescent="0.25"/>
    <row r="938" ht="32.25" hidden="1" customHeight="1" x14ac:dyDescent="0.25"/>
    <row r="939" ht="32.25" hidden="1" customHeight="1" x14ac:dyDescent="0.25"/>
    <row r="940" ht="32.25" hidden="1" customHeight="1" x14ac:dyDescent="0.25"/>
    <row r="941" ht="32.25" hidden="1" customHeight="1" x14ac:dyDescent="0.25"/>
    <row r="942" ht="32.25" hidden="1" customHeight="1" x14ac:dyDescent="0.25"/>
    <row r="943" ht="32.25" hidden="1" customHeight="1" x14ac:dyDescent="0.25"/>
    <row r="944" ht="32.25" hidden="1" customHeight="1" x14ac:dyDescent="0.25"/>
    <row r="945" ht="32.25" hidden="1" customHeight="1" x14ac:dyDescent="0.25"/>
    <row r="946" ht="32.25" hidden="1" customHeight="1" x14ac:dyDescent="0.25"/>
    <row r="947" ht="32.25" hidden="1" customHeight="1" x14ac:dyDescent="0.25"/>
    <row r="948" ht="32.25" hidden="1" customHeight="1" x14ac:dyDescent="0.25"/>
    <row r="949" ht="32.25" hidden="1" customHeight="1" x14ac:dyDescent="0.25"/>
    <row r="950" ht="32.25" hidden="1" customHeight="1" x14ac:dyDescent="0.25"/>
    <row r="951" ht="32.25" hidden="1" customHeight="1" x14ac:dyDescent="0.25"/>
    <row r="952" ht="32.25" hidden="1" customHeight="1" x14ac:dyDescent="0.25"/>
    <row r="953" ht="32.25" hidden="1" customHeight="1" x14ac:dyDescent="0.25"/>
    <row r="954" ht="32.25" hidden="1" customHeight="1" x14ac:dyDescent="0.25"/>
    <row r="955" ht="32.25" hidden="1" customHeight="1" x14ac:dyDescent="0.25"/>
    <row r="956" ht="32.25" hidden="1" customHeight="1" x14ac:dyDescent="0.25"/>
    <row r="957" ht="32.25" hidden="1" customHeight="1" x14ac:dyDescent="0.25"/>
    <row r="958" ht="32.25" hidden="1" customHeight="1" x14ac:dyDescent="0.25"/>
    <row r="959" ht="32.25" hidden="1" customHeight="1" x14ac:dyDescent="0.25"/>
    <row r="960" ht="32.25" hidden="1" customHeight="1" x14ac:dyDescent="0.25"/>
    <row r="961" ht="32.25" hidden="1" customHeight="1" x14ac:dyDescent="0.25"/>
    <row r="962" ht="32.25" hidden="1" customHeight="1" x14ac:dyDescent="0.25"/>
    <row r="963" ht="32.25" hidden="1" customHeight="1" x14ac:dyDescent="0.25"/>
    <row r="964" ht="32.25" hidden="1" customHeight="1" x14ac:dyDescent="0.25"/>
    <row r="965" ht="32.25" hidden="1" customHeight="1" x14ac:dyDescent="0.25"/>
    <row r="966" ht="32.25" hidden="1" customHeight="1" x14ac:dyDescent="0.25"/>
    <row r="967" ht="32.25" hidden="1" customHeight="1" x14ac:dyDescent="0.25"/>
    <row r="968" ht="32.25" hidden="1" customHeight="1" x14ac:dyDescent="0.25"/>
    <row r="969" ht="32.25" hidden="1" customHeight="1" x14ac:dyDescent="0.25"/>
    <row r="970" ht="32.25" hidden="1" customHeight="1" x14ac:dyDescent="0.25"/>
    <row r="971" ht="32.25" hidden="1" customHeight="1" x14ac:dyDescent="0.25"/>
    <row r="972" ht="32.25" hidden="1" customHeight="1" x14ac:dyDescent="0.25"/>
    <row r="973" ht="32.25" hidden="1" customHeight="1" x14ac:dyDescent="0.25"/>
    <row r="974" ht="32.25" hidden="1" customHeight="1" x14ac:dyDescent="0.25"/>
    <row r="975" ht="32.25" hidden="1" customHeight="1" x14ac:dyDescent="0.25"/>
    <row r="976" ht="32.25" hidden="1" customHeight="1" x14ac:dyDescent="0.25"/>
    <row r="977" ht="32.25" hidden="1" customHeight="1" x14ac:dyDescent="0.25"/>
    <row r="978" ht="32.25" hidden="1" customHeight="1" x14ac:dyDescent="0.25"/>
    <row r="979" ht="32.25" hidden="1" customHeight="1" x14ac:dyDescent="0.25"/>
    <row r="980" ht="32.25" hidden="1" customHeight="1" x14ac:dyDescent="0.25"/>
    <row r="981" ht="32.25" hidden="1" customHeight="1" x14ac:dyDescent="0.25"/>
    <row r="982" ht="32.25" hidden="1" customHeight="1" x14ac:dyDescent="0.25"/>
    <row r="983" ht="32.25" hidden="1" customHeight="1" x14ac:dyDescent="0.25"/>
    <row r="984" ht="32.25" hidden="1" customHeight="1" x14ac:dyDescent="0.25"/>
    <row r="985" ht="32.25" hidden="1" customHeight="1" x14ac:dyDescent="0.25"/>
    <row r="986" ht="32.25" hidden="1" customHeight="1" x14ac:dyDescent="0.25"/>
    <row r="987" ht="32.25" hidden="1" customHeight="1" x14ac:dyDescent="0.25"/>
    <row r="988" ht="32.25" hidden="1" customHeight="1" x14ac:dyDescent="0.25"/>
    <row r="989" ht="32.25" hidden="1" customHeight="1" x14ac:dyDescent="0.25"/>
    <row r="990" ht="32.25" hidden="1" customHeight="1" x14ac:dyDescent="0.25"/>
    <row r="991" ht="32.25" hidden="1" customHeight="1" x14ac:dyDescent="0.25"/>
    <row r="992" ht="32.25" hidden="1" customHeight="1" x14ac:dyDescent="0.25"/>
    <row r="993" ht="32.25" hidden="1" customHeight="1" x14ac:dyDescent="0.25"/>
    <row r="994" ht="32.25" hidden="1" customHeight="1" x14ac:dyDescent="0.25"/>
    <row r="995" ht="32.25" hidden="1" customHeight="1" x14ac:dyDescent="0.25"/>
    <row r="996" ht="32.25" hidden="1" customHeight="1" x14ac:dyDescent="0.25"/>
    <row r="997" ht="32.25" hidden="1" customHeight="1" x14ac:dyDescent="0.25"/>
    <row r="998" ht="32.25" hidden="1" customHeight="1" x14ac:dyDescent="0.25"/>
    <row r="999" ht="32.25" hidden="1" customHeight="1" x14ac:dyDescent="0.25"/>
    <row r="1000" ht="32.25" hidden="1" customHeight="1" x14ac:dyDescent="0.25"/>
    <row r="1001" ht="32.25" hidden="1" customHeight="1" x14ac:dyDescent="0.25"/>
    <row r="1002" ht="32.25" hidden="1" customHeight="1" x14ac:dyDescent="0.25"/>
    <row r="1003" ht="32.25" hidden="1" customHeight="1" x14ac:dyDescent="0.25"/>
    <row r="1004" ht="32.25" hidden="1" customHeight="1" x14ac:dyDescent="0.25"/>
    <row r="1005" ht="32.25" hidden="1" customHeight="1" x14ac:dyDescent="0.25"/>
    <row r="1006" ht="32.25" hidden="1" customHeight="1" x14ac:dyDescent="0.25"/>
    <row r="1007" ht="32.25" hidden="1" customHeight="1" x14ac:dyDescent="0.25"/>
    <row r="1008" ht="32.25" hidden="1" customHeight="1" x14ac:dyDescent="0.25"/>
    <row r="1009" ht="32.25" hidden="1" customHeight="1" x14ac:dyDescent="0.25"/>
    <row r="1010" ht="32.25" hidden="1" customHeight="1" x14ac:dyDescent="0.25"/>
    <row r="1011" ht="32.25" hidden="1" customHeight="1" x14ac:dyDescent="0.25"/>
    <row r="1012" ht="32.25" hidden="1" customHeight="1" x14ac:dyDescent="0.25"/>
  </sheetData>
  <autoFilter ref="B6:G87"/>
  <mergeCells count="1">
    <mergeCell ref="B2:H4"/>
  </mergeCells>
  <hyperlinks>
    <hyperlink ref="E27" r:id="rId1" display="https://blog.idwall.co/category/mercado/"/>
  </hyperlinks>
  <pageMargins left="0.25" right="0.25" top="0.75" bottom="0.75" header="0.3" footer="0.3"/>
  <pageSetup paperSize="9" scale="8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E90"/>
  <sheetViews>
    <sheetView showGridLines="0" workbookViewId="0">
      <selection activeCell="A6" sqref="A4:A9"/>
    </sheetView>
  </sheetViews>
  <sheetFormatPr defaultColWidth="8.5703125" defaultRowHeight="15" x14ac:dyDescent="0.25"/>
  <cols>
    <col min="1" max="1" width="31.7109375" customWidth="1"/>
    <col min="2" max="5" width="13" style="13" customWidth="1"/>
    <col min="6" max="6" width="9.140625" customWidth="1"/>
  </cols>
  <sheetData>
    <row r="3" spans="1:5" x14ac:dyDescent="0.25">
      <c r="A3" s="11" t="s">
        <v>10</v>
      </c>
      <c r="B3" t="s">
        <v>19</v>
      </c>
      <c r="C3"/>
      <c r="D3"/>
      <c r="E3"/>
    </row>
    <row r="4" spans="1:5" x14ac:dyDescent="0.25">
      <c r="A4" s="12" t="s">
        <v>9</v>
      </c>
      <c r="B4" s="14">
        <v>76</v>
      </c>
      <c r="C4"/>
      <c r="D4"/>
      <c r="E4"/>
    </row>
    <row r="5" spans="1:5" x14ac:dyDescent="0.25">
      <c r="A5" s="12" t="s">
        <v>12</v>
      </c>
      <c r="B5" s="14">
        <v>76</v>
      </c>
      <c r="C5"/>
      <c r="D5"/>
      <c r="E5"/>
    </row>
    <row r="6" spans="1:5" x14ac:dyDescent="0.25">
      <c r="B6"/>
      <c r="C6"/>
      <c r="D6"/>
      <c r="E6"/>
    </row>
    <row r="7" spans="1:5" x14ac:dyDescent="0.25">
      <c r="B7"/>
      <c r="C7"/>
      <c r="D7"/>
      <c r="E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6" t="s">
        <v>8</v>
      </c>
      <c r="B19" s="16" t="s">
        <v>23</v>
      </c>
      <c r="C19"/>
      <c r="D19"/>
      <c r="E19"/>
    </row>
    <row r="20" spans="1:5" x14ac:dyDescent="0.25">
      <c r="A20" s="15" t="s">
        <v>9</v>
      </c>
      <c r="B20" s="15">
        <f>GETPIVOTDATA("STATUS DOS TESTES",$A$3,"STATUS DOS TESTES","APROVADO")</f>
        <v>76</v>
      </c>
      <c r="C20"/>
      <c r="D20"/>
      <c r="E20"/>
    </row>
    <row r="21" spans="1:5" x14ac:dyDescent="0.25">
      <c r="A21" s="15" t="s">
        <v>22</v>
      </c>
      <c r="B21" s="15">
        <f>GETPIVOTDATA("STATUS DOS TESTES",$A$3)-B20</f>
        <v>0</v>
      </c>
      <c r="C21"/>
      <c r="D21"/>
      <c r="E21"/>
    </row>
    <row r="22" spans="1:5" x14ac:dyDescent="0.25">
      <c r="B22"/>
      <c r="C22"/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3:E95"/>
  <sheetViews>
    <sheetView showGridLines="0" topLeftCell="A6" workbookViewId="0">
      <selection activeCell="G22" sqref="G22"/>
    </sheetView>
  </sheetViews>
  <sheetFormatPr defaultColWidth="8.5703125" defaultRowHeight="15" x14ac:dyDescent="0.25"/>
  <cols>
    <col min="1" max="1" width="31.7109375" customWidth="1"/>
    <col min="2" max="5" width="13" style="13" customWidth="1"/>
    <col min="6" max="6" width="9.140625" customWidth="1"/>
    <col min="7" max="7" width="8.5703125" customWidth="1"/>
  </cols>
  <sheetData>
    <row r="3" spans="1:5" x14ac:dyDescent="0.25">
      <c r="A3" s="11" t="s">
        <v>20</v>
      </c>
      <c r="B3" s="11" t="s">
        <v>11</v>
      </c>
      <c r="C3"/>
      <c r="D3"/>
      <c r="E3"/>
    </row>
    <row r="4" spans="1:5" x14ac:dyDescent="0.25">
      <c r="A4" s="11" t="s">
        <v>10</v>
      </c>
      <c r="B4" t="s">
        <v>9</v>
      </c>
      <c r="C4" t="s">
        <v>300</v>
      </c>
      <c r="D4" t="s">
        <v>12</v>
      </c>
      <c r="E4"/>
    </row>
    <row r="5" spans="1:5" x14ac:dyDescent="0.25">
      <c r="A5" s="12" t="s">
        <v>13</v>
      </c>
      <c r="B5" s="14">
        <v>9</v>
      </c>
      <c r="C5" s="14"/>
      <c r="D5" s="14">
        <v>9</v>
      </c>
      <c r="E5"/>
    </row>
    <row r="6" spans="1:5" x14ac:dyDescent="0.25">
      <c r="A6" s="12" t="s">
        <v>14</v>
      </c>
      <c r="B6" s="14">
        <v>15</v>
      </c>
      <c r="C6" s="14">
        <v>1</v>
      </c>
      <c r="D6" s="14">
        <v>16</v>
      </c>
      <c r="E6"/>
    </row>
    <row r="7" spans="1:5" x14ac:dyDescent="0.25">
      <c r="A7" s="12" t="s">
        <v>15</v>
      </c>
      <c r="B7" s="14">
        <v>16</v>
      </c>
      <c r="C7" s="14"/>
      <c r="D7" s="14">
        <v>16</v>
      </c>
      <c r="E7"/>
    </row>
    <row r="8" spans="1:5" x14ac:dyDescent="0.25">
      <c r="A8" s="12" t="s">
        <v>16</v>
      </c>
      <c r="B8" s="14">
        <v>15</v>
      </c>
      <c r="C8" s="14">
        <v>1</v>
      </c>
      <c r="D8" s="14">
        <v>16</v>
      </c>
      <c r="E8"/>
    </row>
    <row r="9" spans="1:5" x14ac:dyDescent="0.25">
      <c r="A9" s="12" t="s">
        <v>17</v>
      </c>
      <c r="B9" s="14">
        <v>7</v>
      </c>
      <c r="C9" s="14"/>
      <c r="D9" s="14">
        <v>7</v>
      </c>
      <c r="E9"/>
    </row>
    <row r="10" spans="1:5" x14ac:dyDescent="0.25">
      <c r="A10" s="12" t="s">
        <v>18</v>
      </c>
      <c r="B10" s="14">
        <v>14</v>
      </c>
      <c r="C10" s="14">
        <v>2</v>
      </c>
      <c r="D10" s="14">
        <v>16</v>
      </c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6" t="s">
        <v>6</v>
      </c>
      <c r="B19" s="18" t="s">
        <v>9</v>
      </c>
      <c r="C19" s="18" t="s">
        <v>22</v>
      </c>
      <c r="D19"/>
      <c r="E19"/>
    </row>
    <row r="20" spans="1:5" x14ac:dyDescent="0.25">
      <c r="A20" s="15" t="e">
        <f>#REF!</f>
        <v>#REF!</v>
      </c>
      <c r="B20" s="17" t="e">
        <f>GETPIVOTDATA("ETAPA DO TESTE",$A$3,"CRITICIDADE",A20,"STATUS DOS TESTES",$B$19)</f>
        <v>#REF!</v>
      </c>
      <c r="C20" s="17" t="e">
        <f t="shared" ref="C20:C25" si="0">GETPIVOTDATA("ETAPA DO TESTE",$A$3,"CRITICIDADE",A20)-B20</f>
        <v>#REF!</v>
      </c>
      <c r="D20"/>
      <c r="E20"/>
    </row>
    <row r="21" spans="1:5" x14ac:dyDescent="0.25">
      <c r="A21" s="15" t="e">
        <f>#REF!</f>
        <v>#REF!</v>
      </c>
      <c r="B21" s="17" t="e">
        <f t="shared" ref="B21:B25" si="1">GETPIVOTDATA("ETAPA DO TESTE",$A$3,"CRITICIDADE",A21,"STATUS DOS TESTES",$B$19)</f>
        <v>#REF!</v>
      </c>
      <c r="C21" s="17" t="e">
        <f t="shared" si="0"/>
        <v>#REF!</v>
      </c>
      <c r="D21"/>
      <c r="E21"/>
    </row>
    <row r="22" spans="1:5" x14ac:dyDescent="0.25">
      <c r="A22" s="15" t="e">
        <f>#REF!</f>
        <v>#REF!</v>
      </c>
      <c r="B22" s="17" t="e">
        <f t="shared" si="1"/>
        <v>#REF!</v>
      </c>
      <c r="C22" s="17" t="e">
        <f t="shared" si="0"/>
        <v>#REF!</v>
      </c>
      <c r="D22"/>
      <c r="E22"/>
    </row>
    <row r="23" spans="1:5" x14ac:dyDescent="0.25">
      <c r="A23" s="15" t="e">
        <f>#REF!</f>
        <v>#REF!</v>
      </c>
      <c r="B23" s="17" t="e">
        <f t="shared" si="1"/>
        <v>#REF!</v>
      </c>
      <c r="C23" s="17" t="e">
        <f t="shared" si="0"/>
        <v>#REF!</v>
      </c>
      <c r="D23"/>
      <c r="E23"/>
    </row>
    <row r="24" spans="1:5" x14ac:dyDescent="0.25">
      <c r="A24" s="15" t="e">
        <f>#REF!</f>
        <v>#REF!</v>
      </c>
      <c r="B24" s="17" t="e">
        <f t="shared" si="1"/>
        <v>#REF!</v>
      </c>
      <c r="C24" s="17" t="e">
        <f t="shared" si="0"/>
        <v>#REF!</v>
      </c>
      <c r="D24"/>
      <c r="E24"/>
    </row>
    <row r="25" spans="1:5" x14ac:dyDescent="0.25">
      <c r="A25" s="15" t="e">
        <f>#REF!</f>
        <v>#REF!</v>
      </c>
      <c r="B25" s="17" t="e">
        <f t="shared" si="1"/>
        <v>#REF!</v>
      </c>
      <c r="C25" s="17" t="e">
        <f t="shared" si="0"/>
        <v>#REF!</v>
      </c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3:E95"/>
  <sheetViews>
    <sheetView showGridLines="0" topLeftCell="A4" workbookViewId="0">
      <selection activeCell="A22" sqref="A22"/>
    </sheetView>
  </sheetViews>
  <sheetFormatPr defaultColWidth="8.5703125" defaultRowHeight="15" x14ac:dyDescent="0.25"/>
  <cols>
    <col min="1" max="1" width="31.7109375" customWidth="1"/>
    <col min="2" max="5" width="13" style="13" customWidth="1"/>
    <col min="6" max="6" width="9.140625" customWidth="1"/>
  </cols>
  <sheetData>
    <row r="3" spans="1:5" x14ac:dyDescent="0.25">
      <c r="A3" s="11" t="s">
        <v>21</v>
      </c>
      <c r="B3" s="11" t="s">
        <v>11</v>
      </c>
      <c r="C3"/>
      <c r="D3"/>
      <c r="E3"/>
    </row>
    <row r="4" spans="1:5" x14ac:dyDescent="0.25">
      <c r="A4" s="11" t="s">
        <v>10</v>
      </c>
      <c r="B4" t="s">
        <v>9</v>
      </c>
      <c r="C4" t="s">
        <v>300</v>
      </c>
      <c r="D4" t="s">
        <v>12</v>
      </c>
      <c r="E4"/>
    </row>
    <row r="5" spans="1:5" x14ac:dyDescent="0.25">
      <c r="A5" s="12" t="s">
        <v>1</v>
      </c>
      <c r="B5" s="14">
        <v>25</v>
      </c>
      <c r="C5" s="14">
        <v>1</v>
      </c>
      <c r="D5" s="14">
        <v>26</v>
      </c>
      <c r="E5"/>
    </row>
    <row r="6" spans="1:5" x14ac:dyDescent="0.25">
      <c r="A6" s="12" t="s">
        <v>0</v>
      </c>
      <c r="B6" s="14">
        <v>27</v>
      </c>
      <c r="C6" s="14">
        <v>1</v>
      </c>
      <c r="D6" s="14">
        <v>28</v>
      </c>
      <c r="E6"/>
    </row>
    <row r="7" spans="1:5" x14ac:dyDescent="0.25">
      <c r="A7" s="12" t="s">
        <v>2</v>
      </c>
      <c r="B7" s="14">
        <v>24</v>
      </c>
      <c r="C7" s="14">
        <v>2</v>
      </c>
      <c r="D7" s="14">
        <v>26</v>
      </c>
      <c r="E7"/>
    </row>
    <row r="8" spans="1:5" x14ac:dyDescent="0.25">
      <c r="A8" s="12" t="s">
        <v>12</v>
      </c>
      <c r="B8" s="14">
        <v>76</v>
      </c>
      <c r="C8" s="14">
        <v>4</v>
      </c>
      <c r="D8" s="14">
        <v>80</v>
      </c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6" t="s">
        <v>6</v>
      </c>
      <c r="B19" s="18" t="s">
        <v>9</v>
      </c>
      <c r="C19" s="18" t="s">
        <v>22</v>
      </c>
      <c r="D19"/>
      <c r="E19"/>
    </row>
    <row r="20" spans="1:5" x14ac:dyDescent="0.25">
      <c r="A20" s="15" t="e">
        <f>#REF!</f>
        <v>#REF!</v>
      </c>
      <c r="B20" s="17" t="e">
        <f>GETPIVOTDATA("CRITICIDADE",$A$3,"CATEGORIA",A20,"STATUS DOS TESTES","APROVADO")</f>
        <v>#REF!</v>
      </c>
      <c r="C20" s="17" t="e">
        <f>GETPIVOTDATA("CRITICIDADE",$A$3,"CATEGORIA",A20)-B20</f>
        <v>#REF!</v>
      </c>
      <c r="D20"/>
      <c r="E20"/>
    </row>
    <row r="21" spans="1:5" x14ac:dyDescent="0.25">
      <c r="A21" s="15" t="e">
        <f>#REF!</f>
        <v>#REF!</v>
      </c>
      <c r="B21" s="17" t="e">
        <f>GETPIVOTDATA("CRITICIDADE",$A$3,"CATEGORIA",A21,"STATUS DOS TESTES","APROVADO")</f>
        <v>#REF!</v>
      </c>
      <c r="C21" s="17" t="e">
        <f>GETPIVOTDATA("CRITICIDADE",$A$3,"CATEGORIA",A21)-B21</f>
        <v>#REF!</v>
      </c>
      <c r="D21"/>
      <c r="E21"/>
    </row>
    <row r="22" spans="1:5" x14ac:dyDescent="0.25">
      <c r="A22" s="15" t="e">
        <f>#REF!</f>
        <v>#REF!</v>
      </c>
      <c r="B22" s="17" t="e">
        <f>GETPIVOTDATA("CRITICIDADE",$A$3,"CATEGORIA",A22,"STATUS DOS TESTES","APROVADO")</f>
        <v>#REF!</v>
      </c>
      <c r="C22" s="17" t="e">
        <f>GETPIVOTDATA("CRITICIDADE",$A$3,"CATEGORIA",A22)-B22</f>
        <v>#REF!</v>
      </c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3:E89"/>
  <sheetViews>
    <sheetView showGridLines="0" topLeftCell="A11" workbookViewId="0">
      <selection activeCell="E28" sqref="E28"/>
    </sheetView>
  </sheetViews>
  <sheetFormatPr defaultColWidth="8.5703125" defaultRowHeight="15" x14ac:dyDescent="0.25"/>
  <cols>
    <col min="1" max="1" width="31.7109375" customWidth="1"/>
    <col min="2" max="5" width="13" style="13" customWidth="1"/>
    <col min="6" max="6" width="9.140625" customWidth="1"/>
  </cols>
  <sheetData>
    <row r="3" spans="1:5" x14ac:dyDescent="0.25">
      <c r="A3" s="11" t="s">
        <v>21</v>
      </c>
      <c r="B3" s="11" t="s">
        <v>11</v>
      </c>
      <c r="C3"/>
      <c r="D3"/>
      <c r="E3"/>
    </row>
    <row r="4" spans="1:5" x14ac:dyDescent="0.25">
      <c r="A4" s="11" t="s">
        <v>10</v>
      </c>
      <c r="B4" t="s">
        <v>9</v>
      </c>
      <c r="C4" t="s">
        <v>300</v>
      </c>
      <c r="D4" t="s">
        <v>12</v>
      </c>
      <c r="E4"/>
    </row>
    <row r="5" spans="1:5" x14ac:dyDescent="0.25">
      <c r="A5" s="12" t="s">
        <v>25</v>
      </c>
      <c r="B5" s="14">
        <v>30</v>
      </c>
      <c r="C5" s="14">
        <v>2</v>
      </c>
      <c r="D5" s="14">
        <v>32</v>
      </c>
      <c r="E5"/>
    </row>
    <row r="6" spans="1:5" x14ac:dyDescent="0.25">
      <c r="A6" s="12" t="s">
        <v>26</v>
      </c>
      <c r="B6" s="14">
        <v>12</v>
      </c>
      <c r="C6" s="14"/>
      <c r="D6" s="14">
        <v>12</v>
      </c>
      <c r="E6"/>
    </row>
    <row r="7" spans="1:5" x14ac:dyDescent="0.25">
      <c r="A7" s="12" t="s">
        <v>28</v>
      </c>
      <c r="B7" s="14">
        <v>11</v>
      </c>
      <c r="C7" s="14">
        <v>1</v>
      </c>
      <c r="D7" s="14">
        <v>12</v>
      </c>
      <c r="E7"/>
    </row>
    <row r="8" spans="1:5" x14ac:dyDescent="0.25">
      <c r="A8" s="12" t="s">
        <v>27</v>
      </c>
      <c r="B8" s="14">
        <v>12</v>
      </c>
      <c r="C8" s="14"/>
      <c r="D8" s="14">
        <v>12</v>
      </c>
      <c r="E8"/>
    </row>
    <row r="9" spans="1:5" x14ac:dyDescent="0.25">
      <c r="A9" s="12" t="s">
        <v>29</v>
      </c>
      <c r="B9" s="14">
        <v>11</v>
      </c>
      <c r="C9" s="14">
        <v>1</v>
      </c>
      <c r="D9" s="14">
        <v>12</v>
      </c>
      <c r="E9"/>
    </row>
    <row r="10" spans="1:5" x14ac:dyDescent="0.25">
      <c r="A10" s="12" t="s">
        <v>12</v>
      </c>
      <c r="B10" s="14">
        <v>76</v>
      </c>
      <c r="C10" s="14">
        <v>4</v>
      </c>
      <c r="D10" s="14">
        <v>80</v>
      </c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6" t="s">
        <v>6</v>
      </c>
      <c r="B19" s="18" t="s">
        <v>9</v>
      </c>
      <c r="C19" s="18" t="s">
        <v>24</v>
      </c>
      <c r="D19"/>
      <c r="E19"/>
    </row>
    <row r="20" spans="1:5" x14ac:dyDescent="0.25">
      <c r="A20" s="15" t="e">
        <f>IF(#REF!="","",#REF!)</f>
        <v>#REF!</v>
      </c>
      <c r="B20" s="17" t="str">
        <f>IFERROR(GETPIVOTDATA("CRITICIDADE",$A$3,"ETAPA DO TESTE",A20,"STATUS DOS TESTES","APROVADO"),"")</f>
        <v/>
      </c>
      <c r="C20" s="17" t="str">
        <f>IFERROR(GETPIVOTDATA("CRITICIDADE",$A$3,"ETAPA DO TESTE",A20),"")</f>
        <v/>
      </c>
      <c r="D20"/>
      <c r="E20"/>
    </row>
    <row r="21" spans="1:5" x14ac:dyDescent="0.25">
      <c r="A21" s="15" t="e">
        <f>IF(#REF!="","",#REF!)</f>
        <v>#REF!</v>
      </c>
      <c r="B21" s="21" t="str">
        <f t="shared" ref="B21:B24" si="0">IFERROR(GETPIVOTDATA("CRITICIDADE",$A$3,"ETAPA DO TESTE",A21,"STATUS DOS TESTES","APROVADO"),"")</f>
        <v/>
      </c>
      <c r="C21" s="21" t="str">
        <f t="shared" ref="C21:C24" si="1">IFERROR(GETPIVOTDATA("CRITICIDADE",$A$3,"ETAPA DO TESTE",A21),"")</f>
        <v/>
      </c>
      <c r="D21"/>
      <c r="E21"/>
    </row>
    <row r="22" spans="1:5" x14ac:dyDescent="0.25">
      <c r="A22" s="15" t="e">
        <f>IF(#REF!="","",#REF!)</f>
        <v>#REF!</v>
      </c>
      <c r="B22" s="21" t="str">
        <f t="shared" si="0"/>
        <v/>
      </c>
      <c r="C22" s="21" t="str">
        <f t="shared" si="1"/>
        <v/>
      </c>
      <c r="D22"/>
      <c r="E22"/>
    </row>
    <row r="23" spans="1:5" x14ac:dyDescent="0.25">
      <c r="A23" s="15" t="e">
        <f>IF(#REF!="","",#REF!)</f>
        <v>#REF!</v>
      </c>
      <c r="B23" s="21" t="str">
        <f t="shared" si="0"/>
        <v/>
      </c>
      <c r="C23" s="21" t="str">
        <f t="shared" si="1"/>
        <v/>
      </c>
      <c r="D23"/>
      <c r="E23"/>
    </row>
    <row r="24" spans="1:5" x14ac:dyDescent="0.25">
      <c r="A24" s="15" t="e">
        <f>IF(#REF!="","",#REF!)</f>
        <v>#REF!</v>
      </c>
      <c r="B24" s="21" t="str">
        <f t="shared" si="0"/>
        <v/>
      </c>
      <c r="C24" s="21" t="str">
        <f t="shared" si="1"/>
        <v/>
      </c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81"/>
  <sheetViews>
    <sheetView showGridLines="0" topLeftCell="A13" workbookViewId="0">
      <selection activeCell="C20" sqref="C20:C30"/>
    </sheetView>
  </sheetViews>
  <sheetFormatPr defaultColWidth="8.5703125" defaultRowHeight="15" x14ac:dyDescent="0.25"/>
  <cols>
    <col min="1" max="1" width="31.7109375" customWidth="1"/>
    <col min="2" max="5" width="13" style="13" customWidth="1"/>
    <col min="6" max="6" width="9.140625" customWidth="1"/>
  </cols>
  <sheetData>
    <row r="1" spans="1:5" x14ac:dyDescent="0.25">
      <c r="B1"/>
    </row>
    <row r="3" spans="1:5" x14ac:dyDescent="0.25">
      <c r="A3" s="11" t="s">
        <v>21</v>
      </c>
      <c r="B3" s="11" t="s">
        <v>11</v>
      </c>
      <c r="C3"/>
      <c r="D3"/>
      <c r="E3"/>
    </row>
    <row r="4" spans="1:5" x14ac:dyDescent="0.25">
      <c r="A4" s="11" t="s">
        <v>10</v>
      </c>
      <c r="B4" t="s">
        <v>9</v>
      </c>
      <c r="C4" t="s">
        <v>300</v>
      </c>
      <c r="D4" t="s">
        <v>12</v>
      </c>
      <c r="E4"/>
    </row>
    <row r="5" spans="1:5" x14ac:dyDescent="0.25">
      <c r="A5" s="12" t="s">
        <v>4</v>
      </c>
      <c r="B5" s="14">
        <v>26</v>
      </c>
      <c r="C5" s="14">
        <v>1</v>
      </c>
      <c r="D5" s="14">
        <v>27</v>
      </c>
      <c r="E5"/>
    </row>
    <row r="6" spans="1:5" x14ac:dyDescent="0.25">
      <c r="A6" s="12" t="s">
        <v>5</v>
      </c>
      <c r="B6" s="14">
        <v>25</v>
      </c>
      <c r="C6" s="14">
        <v>1</v>
      </c>
      <c r="D6" s="14">
        <v>26</v>
      </c>
      <c r="E6"/>
    </row>
    <row r="7" spans="1:5" x14ac:dyDescent="0.25">
      <c r="A7" s="12" t="s">
        <v>3</v>
      </c>
      <c r="B7" s="14">
        <v>25</v>
      </c>
      <c r="C7" s="14">
        <v>2</v>
      </c>
      <c r="D7" s="14">
        <v>27</v>
      </c>
      <c r="E7"/>
    </row>
    <row r="8" spans="1:5" x14ac:dyDescent="0.25">
      <c r="A8" s="12" t="s">
        <v>12</v>
      </c>
      <c r="B8" s="14">
        <v>76</v>
      </c>
      <c r="C8" s="14">
        <v>4</v>
      </c>
      <c r="D8" s="14">
        <v>80</v>
      </c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6" t="s">
        <v>6</v>
      </c>
      <c r="B19" s="18" t="s">
        <v>9</v>
      </c>
      <c r="C19" s="18" t="s">
        <v>24</v>
      </c>
      <c r="D19"/>
      <c r="E19"/>
    </row>
    <row r="20" spans="1:5" x14ac:dyDescent="0.25">
      <c r="A20" s="19" t="e">
        <f>IF(#REF!="","",#REF!)</f>
        <v>#REF!</v>
      </c>
      <c r="B20" s="17" t="str">
        <f>IFERROR(GETPIVOTDATA("CRITICIDADE",$A$3,"FUNCIONALIDADE",A20,"STATUS DOS TESTES","APROVADO"),"")</f>
        <v/>
      </c>
      <c r="C20" s="17" t="str">
        <f>IFERROR(GETPIVOTDATA("CRITICIDADE",$A$3,"FUNCIONALIDADE",A20),"")</f>
        <v/>
      </c>
      <c r="D20"/>
      <c r="E20"/>
    </row>
    <row r="21" spans="1:5" x14ac:dyDescent="0.25">
      <c r="A21" s="19" t="e">
        <f>IF(#REF!="","",#REF!)</f>
        <v>#REF!</v>
      </c>
      <c r="B21" s="17" t="str">
        <f t="shared" ref="B21:B30" si="0">IFERROR(GETPIVOTDATA("CRITICIDADE",$A$3,"FUNCIONALIDADE",A21,"STATUS DOS TESTES","APROVADO"),"")</f>
        <v/>
      </c>
      <c r="C21" s="21" t="str">
        <f t="shared" ref="C21:C30" si="1">IFERROR(GETPIVOTDATA("CRITICIDADE",$A$3,"FUNCIONALIDADE",A21),"")</f>
        <v/>
      </c>
      <c r="D21"/>
      <c r="E21"/>
    </row>
    <row r="22" spans="1:5" x14ac:dyDescent="0.25">
      <c r="A22" s="19" t="e">
        <f>IF(#REF!="","",#REF!)</f>
        <v>#REF!</v>
      </c>
      <c r="B22" s="17" t="str">
        <f t="shared" si="0"/>
        <v/>
      </c>
      <c r="C22" s="21" t="str">
        <f t="shared" si="1"/>
        <v/>
      </c>
      <c r="D22"/>
      <c r="E22"/>
    </row>
    <row r="23" spans="1:5" x14ac:dyDescent="0.25">
      <c r="A23" s="19" t="e">
        <f>IF(#REF!="","",#REF!)</f>
        <v>#REF!</v>
      </c>
      <c r="B23" s="17" t="str">
        <f t="shared" si="0"/>
        <v/>
      </c>
      <c r="C23" s="21" t="str">
        <f t="shared" si="1"/>
        <v/>
      </c>
      <c r="D23"/>
      <c r="E23"/>
    </row>
    <row r="24" spans="1:5" x14ac:dyDescent="0.25">
      <c r="A24" s="19" t="e">
        <f>IF(#REF!="","",#REF!)</f>
        <v>#REF!</v>
      </c>
      <c r="B24" s="17" t="str">
        <f t="shared" si="0"/>
        <v/>
      </c>
      <c r="C24" s="21" t="str">
        <f t="shared" si="1"/>
        <v/>
      </c>
      <c r="D24"/>
      <c r="E24"/>
    </row>
    <row r="25" spans="1:5" x14ac:dyDescent="0.25">
      <c r="A25" s="19" t="e">
        <f>IF(#REF!="","",#REF!)</f>
        <v>#REF!</v>
      </c>
      <c r="B25" s="17" t="str">
        <f t="shared" si="0"/>
        <v/>
      </c>
      <c r="C25" s="21" t="str">
        <f t="shared" si="1"/>
        <v/>
      </c>
      <c r="D25"/>
      <c r="E25"/>
    </row>
    <row r="26" spans="1:5" x14ac:dyDescent="0.25">
      <c r="A26" s="19" t="e">
        <f>IF(#REF!="","",#REF!)</f>
        <v>#REF!</v>
      </c>
      <c r="B26" s="17" t="str">
        <f t="shared" si="0"/>
        <v/>
      </c>
      <c r="C26" s="21" t="str">
        <f t="shared" si="1"/>
        <v/>
      </c>
      <c r="D26"/>
      <c r="E26"/>
    </row>
    <row r="27" spans="1:5" x14ac:dyDescent="0.25">
      <c r="A27" s="19" t="e">
        <f>IF(#REF!="","",#REF!)</f>
        <v>#REF!</v>
      </c>
      <c r="B27" s="17" t="str">
        <f t="shared" si="0"/>
        <v/>
      </c>
      <c r="C27" s="21" t="str">
        <f t="shared" si="1"/>
        <v/>
      </c>
      <c r="D27"/>
      <c r="E27"/>
    </row>
    <row r="28" spans="1:5" x14ac:dyDescent="0.25">
      <c r="A28" s="19" t="e">
        <f>IF(#REF!="","",#REF!)</f>
        <v>#REF!</v>
      </c>
      <c r="B28" s="17" t="str">
        <f t="shared" si="0"/>
        <v/>
      </c>
      <c r="C28" s="21" t="str">
        <f t="shared" si="1"/>
        <v/>
      </c>
      <c r="D28"/>
      <c r="E28"/>
    </row>
    <row r="29" spans="1:5" x14ac:dyDescent="0.25">
      <c r="A29" s="19" t="e">
        <f>IF(#REF!="","",#REF!)</f>
        <v>#REF!</v>
      </c>
      <c r="B29" s="17" t="str">
        <f t="shared" si="0"/>
        <v/>
      </c>
      <c r="C29" s="21" t="str">
        <f t="shared" si="1"/>
        <v/>
      </c>
      <c r="D29"/>
      <c r="E29"/>
    </row>
    <row r="30" spans="1:5" x14ac:dyDescent="0.25">
      <c r="A30" s="19" t="e">
        <f>IF(#REF!="","",#REF!)</f>
        <v>#REF!</v>
      </c>
      <c r="B30" s="20" t="str">
        <f t="shared" si="0"/>
        <v/>
      </c>
      <c r="C30" s="21" t="str">
        <f t="shared" si="1"/>
        <v/>
      </c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3:E95"/>
  <sheetViews>
    <sheetView showGridLines="0" topLeftCell="A14" workbookViewId="0">
      <selection activeCell="G17" sqref="G17"/>
    </sheetView>
  </sheetViews>
  <sheetFormatPr defaultColWidth="8.5703125" defaultRowHeight="15" x14ac:dyDescent="0.25"/>
  <cols>
    <col min="1" max="1" width="31.7109375" customWidth="1"/>
    <col min="2" max="5" width="13" style="13" customWidth="1"/>
    <col min="6" max="6" width="9.140625" customWidth="1"/>
  </cols>
  <sheetData>
    <row r="3" spans="1:5" x14ac:dyDescent="0.25">
      <c r="A3" s="11" t="s">
        <v>21</v>
      </c>
      <c r="B3" s="11" t="s">
        <v>11</v>
      </c>
      <c r="C3"/>
      <c r="D3"/>
      <c r="E3"/>
    </row>
    <row r="4" spans="1:5" x14ac:dyDescent="0.25">
      <c r="A4" s="11" t="s">
        <v>10</v>
      </c>
      <c r="B4" t="s">
        <v>12</v>
      </c>
      <c r="C4"/>
      <c r="D4"/>
      <c r="E4"/>
    </row>
    <row r="5" spans="1:5" x14ac:dyDescent="0.25">
      <c r="B5"/>
      <c r="C5"/>
      <c r="D5"/>
      <c r="E5"/>
    </row>
    <row r="6" spans="1:5" x14ac:dyDescent="0.25">
      <c r="B6"/>
      <c r="C6"/>
      <c r="D6"/>
      <c r="E6"/>
    </row>
    <row r="7" spans="1:5" x14ac:dyDescent="0.25">
      <c r="B7"/>
      <c r="C7"/>
      <c r="D7"/>
      <c r="E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6" t="s">
        <v>6</v>
      </c>
      <c r="B19" s="18" t="s">
        <v>9</v>
      </c>
      <c r="C19" s="18" t="s">
        <v>22</v>
      </c>
      <c r="D19" s="18" t="s">
        <v>30</v>
      </c>
      <c r="E19"/>
    </row>
    <row r="20" spans="1:5" x14ac:dyDescent="0.25">
      <c r="A20" s="19" t="str">
        <f t="shared" ref="A20:A23" si="0">IF(A5="","",A5)</f>
        <v/>
      </c>
      <c r="B20" s="21" t="str">
        <f>IFERROR(GETPIVOTDATA("CRITICIDADE",$A$3,"RESPONSÁVEL",A20,"STATUS DOS TESTES","APROVADO"),"")</f>
        <v/>
      </c>
      <c r="C20" s="21" t="str">
        <f>IFERROR(GETPIVOTDATA("CRITICIDADE",$A$3,"RESPONSÁVEL",A20),"")</f>
        <v/>
      </c>
      <c r="D20" s="22" t="str">
        <f>IFERROR(B20/C20,"")</f>
        <v/>
      </c>
      <c r="E20"/>
    </row>
    <row r="21" spans="1:5" x14ac:dyDescent="0.25">
      <c r="A21" s="19" t="str">
        <f t="shared" si="0"/>
        <v/>
      </c>
      <c r="B21" s="21" t="str">
        <f t="shared" ref="B21:B29" si="1">IFERROR(GETPIVOTDATA("CRITICIDADE",$A$3,"RESPONSÁVEL",A21,"STATUS DOS TESTES","APROVADO"),"")</f>
        <v/>
      </c>
      <c r="C21" s="21" t="str">
        <f t="shared" ref="C21:C29" si="2">IFERROR(GETPIVOTDATA("CRITICIDADE",$A$3,"RESPONSÁVEL",A21),"")</f>
        <v/>
      </c>
      <c r="D21" s="22" t="str">
        <f t="shared" ref="D21:D29" si="3">IFERROR(B21/C21,"")</f>
        <v/>
      </c>
      <c r="E21"/>
    </row>
    <row r="22" spans="1:5" x14ac:dyDescent="0.25">
      <c r="A22" s="19" t="str">
        <f t="shared" si="0"/>
        <v/>
      </c>
      <c r="B22" s="21" t="str">
        <f t="shared" si="1"/>
        <v/>
      </c>
      <c r="C22" s="21" t="str">
        <f t="shared" si="2"/>
        <v/>
      </c>
      <c r="D22" s="22" t="str">
        <f t="shared" si="3"/>
        <v/>
      </c>
      <c r="E22"/>
    </row>
    <row r="23" spans="1:5" x14ac:dyDescent="0.25">
      <c r="A23" s="19" t="str">
        <f t="shared" si="0"/>
        <v/>
      </c>
      <c r="B23" s="21" t="str">
        <f t="shared" si="1"/>
        <v/>
      </c>
      <c r="C23" s="21" t="str">
        <f t="shared" si="2"/>
        <v/>
      </c>
      <c r="D23" s="22" t="str">
        <f t="shared" si="3"/>
        <v/>
      </c>
      <c r="E23"/>
    </row>
    <row r="24" spans="1:5" x14ac:dyDescent="0.25">
      <c r="A24" s="19" t="str">
        <f>IF(A9="","",A9)</f>
        <v/>
      </c>
      <c r="B24" s="21" t="str">
        <f t="shared" si="1"/>
        <v/>
      </c>
      <c r="C24" s="21" t="str">
        <f t="shared" si="2"/>
        <v/>
      </c>
      <c r="D24" s="22" t="str">
        <f t="shared" si="3"/>
        <v/>
      </c>
      <c r="E24"/>
    </row>
    <row r="25" spans="1:5" x14ac:dyDescent="0.25">
      <c r="A25" s="19" t="str">
        <f t="shared" ref="A25:A29" si="4">IF(A10="","",A10)</f>
        <v/>
      </c>
      <c r="B25" s="21" t="str">
        <f t="shared" si="1"/>
        <v/>
      </c>
      <c r="C25" s="21" t="str">
        <f t="shared" si="2"/>
        <v/>
      </c>
      <c r="D25" s="22" t="str">
        <f t="shared" si="3"/>
        <v/>
      </c>
      <c r="E25"/>
    </row>
    <row r="26" spans="1:5" x14ac:dyDescent="0.25">
      <c r="A26" s="19" t="str">
        <f t="shared" si="4"/>
        <v/>
      </c>
      <c r="B26" s="21" t="str">
        <f t="shared" si="1"/>
        <v/>
      </c>
      <c r="C26" s="21" t="str">
        <f t="shared" si="2"/>
        <v/>
      </c>
      <c r="D26" s="22" t="str">
        <f t="shared" si="3"/>
        <v/>
      </c>
      <c r="E26"/>
    </row>
    <row r="27" spans="1:5" x14ac:dyDescent="0.25">
      <c r="A27" s="19" t="str">
        <f t="shared" si="4"/>
        <v/>
      </c>
      <c r="B27" s="21" t="str">
        <f t="shared" si="1"/>
        <v/>
      </c>
      <c r="C27" s="21" t="str">
        <f t="shared" si="2"/>
        <v/>
      </c>
      <c r="D27" s="22" t="str">
        <f t="shared" si="3"/>
        <v/>
      </c>
      <c r="E27"/>
    </row>
    <row r="28" spans="1:5" x14ac:dyDescent="0.25">
      <c r="A28" s="19" t="str">
        <f t="shared" si="4"/>
        <v/>
      </c>
      <c r="B28" s="21" t="str">
        <f t="shared" si="1"/>
        <v/>
      </c>
      <c r="C28" s="21" t="str">
        <f t="shared" si="2"/>
        <v/>
      </c>
      <c r="D28" s="22" t="str">
        <f t="shared" si="3"/>
        <v/>
      </c>
      <c r="E28"/>
    </row>
    <row r="29" spans="1:5" x14ac:dyDescent="0.25">
      <c r="A29" s="19" t="str">
        <f t="shared" si="4"/>
        <v/>
      </c>
      <c r="B29" s="21" t="str">
        <f t="shared" si="1"/>
        <v/>
      </c>
      <c r="C29" s="21" t="str">
        <f t="shared" si="2"/>
        <v/>
      </c>
      <c r="D29" s="22" t="str">
        <f t="shared" si="3"/>
        <v/>
      </c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Instruções</vt:lpstr>
      <vt:lpstr>Roteiro de Teste</vt:lpstr>
      <vt:lpstr>D1</vt:lpstr>
      <vt:lpstr>D2</vt:lpstr>
      <vt:lpstr>D3</vt:lpstr>
      <vt:lpstr>D4</vt:lpstr>
      <vt:lpstr>D5</vt:lpstr>
      <vt:lpstr>D6</vt:lpstr>
      <vt:lpstr>'Roteiro de Teste'!Area_de_impressao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Windows User</cp:lastModifiedBy>
  <cp:lastPrinted>2013-04-30T18:08:38Z</cp:lastPrinted>
  <dcterms:created xsi:type="dcterms:W3CDTF">2013-04-30T01:08:41Z</dcterms:created>
  <dcterms:modified xsi:type="dcterms:W3CDTF">2019-09-26T21:36:21Z</dcterms:modified>
</cp:coreProperties>
</file>